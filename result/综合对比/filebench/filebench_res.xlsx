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27207\Desktop\SegFTL2.0修改版\SegFTL2.0大修版\实验结果2.0\综合对比\filebench\"/>
    </mc:Choice>
  </mc:AlternateContent>
  <xr:revisionPtr revIDLastSave="0" documentId="13_ncr:1_{8FDCA86C-6ACE-45D3-8ABE-11351452195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G13" i="1"/>
  <c r="G12" i="1"/>
  <c r="G11" i="1"/>
  <c r="D14" i="1"/>
  <c r="D13" i="1"/>
  <c r="D12" i="1"/>
  <c r="D11" i="1"/>
  <c r="C14" i="1"/>
  <c r="C13" i="1"/>
  <c r="C12" i="1"/>
  <c r="C11" i="1"/>
  <c r="B14" i="1"/>
  <c r="B13" i="1"/>
  <c r="B12" i="1"/>
  <c r="B11" i="1"/>
</calcChain>
</file>

<file path=xl/sharedStrings.xml><?xml version="1.0" encoding="utf-8"?>
<sst xmlns="http://schemas.openxmlformats.org/spreadsheetml/2006/main" count="10" uniqueCount="10">
  <si>
    <t>fileserver</t>
  </si>
  <si>
    <t>webserver</t>
  </si>
  <si>
    <t>varmail</t>
  </si>
  <si>
    <t>DFTL</t>
  </si>
  <si>
    <t>TPFTL</t>
  </si>
  <si>
    <t>LearnedFTL</t>
  </si>
  <si>
    <t>Seg-FTL</t>
  </si>
  <si>
    <t>average</t>
  </si>
  <si>
    <t>throughput MB/s</t>
    <phoneticPr fontId="1" type="noConversion"/>
  </si>
  <si>
    <t>S-FTL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</si>
</sst>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19"/>
  <sheetViews>
    <sheetView tabSelected="1" workbookViewId="0">
      <selection activeCell="B14" sqref="B14"/>
    </sheetView>
  </sheetViews>
  <sheetFormatPr defaultColWidth="9" defaultRowHeight="14.4" x14ac:dyDescent="0.25"/>
  <cols>
    <col min="2" max="4" width="12.6640625"/>
    <col min="7" max="7" width="12.6640625"/>
  </cols>
  <sheetData>
    <row r="4" spans="1:7" x14ac:dyDescent="0.25">
      <c r="A4" s="1" t="s">
        <v>8</v>
      </c>
      <c r="B4" t="s">
        <v>0</v>
      </c>
      <c r="C4" t="s">
        <v>1</v>
      </c>
      <c r="D4" t="s">
        <v>2</v>
      </c>
    </row>
    <row r="5" spans="1:7" x14ac:dyDescent="0.25">
      <c r="A5" t="s">
        <v>3</v>
      </c>
      <c r="B5">
        <v>215.2</v>
      </c>
      <c r="C5">
        <v>157.80000000000001</v>
      </c>
      <c r="D5">
        <v>61.8</v>
      </c>
    </row>
    <row r="6" spans="1:7" x14ac:dyDescent="0.25">
      <c r="A6" t="s">
        <v>4</v>
      </c>
      <c r="B6">
        <v>213.6</v>
      </c>
      <c r="C6">
        <v>160</v>
      </c>
      <c r="D6">
        <v>62.6</v>
      </c>
    </row>
    <row r="7" spans="1:7" x14ac:dyDescent="0.25">
      <c r="A7" t="s">
        <v>5</v>
      </c>
      <c r="B7">
        <v>234.4</v>
      </c>
      <c r="C7">
        <v>167.3</v>
      </c>
      <c r="D7">
        <v>61.8</v>
      </c>
    </row>
    <row r="8" spans="1:7" x14ac:dyDescent="0.25">
      <c r="A8" t="s">
        <v>9</v>
      </c>
      <c r="B8">
        <v>217.8</v>
      </c>
      <c r="C8">
        <v>175.9</v>
      </c>
      <c r="D8">
        <v>64.2</v>
      </c>
    </row>
    <row r="9" spans="1:7" x14ac:dyDescent="0.25">
      <c r="A9" t="s">
        <v>6</v>
      </c>
      <c r="B9">
        <v>239.3</v>
      </c>
      <c r="C9">
        <v>248.3</v>
      </c>
      <c r="D9">
        <v>68.8</v>
      </c>
    </row>
    <row r="10" spans="1:7" x14ac:dyDescent="0.25">
      <c r="G10" t="s">
        <v>7</v>
      </c>
    </row>
    <row r="11" spans="1:7" x14ac:dyDescent="0.25">
      <c r="B11">
        <f>B9/B5</f>
        <v>1.1119888475836399</v>
      </c>
      <c r="C11">
        <f>C9/C5</f>
        <v>1.5735107731305449</v>
      </c>
      <c r="D11">
        <f>D9/D5</f>
        <v>1.1132686084142396</v>
      </c>
      <c r="G11">
        <f>(B11+C11+D11)/3</f>
        <v>1.2662560763761415</v>
      </c>
    </row>
    <row r="12" spans="1:7" x14ac:dyDescent="0.25">
      <c r="B12">
        <f>B9/B6</f>
        <v>1.1203183520599251</v>
      </c>
      <c r="C12">
        <f>C9/C6</f>
        <v>1.5518750000000001</v>
      </c>
      <c r="D12">
        <f>D9/D6</f>
        <v>1.0990415335463257</v>
      </c>
      <c r="G12">
        <f>(B12+C12+D12)/3</f>
        <v>1.2570782952020838</v>
      </c>
    </row>
    <row r="13" spans="1:7" x14ac:dyDescent="0.25">
      <c r="B13">
        <f>B9/B7</f>
        <v>1.0209044368600684</v>
      </c>
      <c r="C13">
        <f>C9/C7</f>
        <v>1.4841601912731619</v>
      </c>
      <c r="D13">
        <f>D9/D7</f>
        <v>1.1132686084142396</v>
      </c>
      <c r="G13">
        <f>(B13+C13+D13)/3</f>
        <v>1.2061110788491567</v>
      </c>
    </row>
    <row r="14" spans="1:7" x14ac:dyDescent="0.25">
      <c r="B14">
        <f>B9/B8</f>
        <v>1.0987144168962351</v>
      </c>
      <c r="C14">
        <f>C9/C8</f>
        <v>1.4115974985787378</v>
      </c>
      <c r="D14">
        <f>D9/D8</f>
        <v>1.071651090342679</v>
      </c>
      <c r="G14">
        <f>(B14+C14+D14)/3</f>
        <v>1.1939876686058841</v>
      </c>
    </row>
    <row r="17" spans="2:6" x14ac:dyDescent="0.25">
      <c r="B17">
        <v>215.2</v>
      </c>
      <c r="C17">
        <v>213.6</v>
      </c>
      <c r="D17">
        <v>234.4</v>
      </c>
      <c r="E17">
        <v>217.8</v>
      </c>
      <c r="F17">
        <v>239.3</v>
      </c>
    </row>
    <row r="18" spans="2:6" x14ac:dyDescent="0.25">
      <c r="B18">
        <v>157.80000000000001</v>
      </c>
      <c r="C18">
        <v>160</v>
      </c>
      <c r="D18">
        <v>167.3</v>
      </c>
      <c r="E18">
        <v>175.9</v>
      </c>
      <c r="F18">
        <v>248.3</v>
      </c>
    </row>
    <row r="19" spans="2:6" x14ac:dyDescent="0.25">
      <c r="B19">
        <v>61.8</v>
      </c>
      <c r="C19">
        <v>62.6</v>
      </c>
      <c r="D19">
        <v>61.8</v>
      </c>
      <c r="E19">
        <v>64.2</v>
      </c>
      <c r="F19">
        <v>68.8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小轩 付</cp:lastModifiedBy>
  <dcterms:created xsi:type="dcterms:W3CDTF">2023-05-12T11:15:00Z</dcterms:created>
  <dcterms:modified xsi:type="dcterms:W3CDTF">2025-11-22T13:01:24Z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6EF085045C814A0F9E842988076CBCBF_12</vt:lpwstr>
  </property>
</Properties>
</file>