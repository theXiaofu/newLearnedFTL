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27207\Desktop\SegFTL2.0修改版\SegFTL2.0大修版\实验结果2.0\综合对比\fio\"/>
    </mc:Choice>
  </mc:AlternateContent>
  <xr:revisionPtr revIDLastSave="0" documentId="13_ncr:1_{9B80EA28-76DB-4D0C-9469-D1E1D0744F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I14" i="1"/>
  <c r="C14" i="1"/>
  <c r="B14" i="1"/>
  <c r="B13" i="1"/>
  <c r="G47" i="1"/>
  <c r="F47" i="1"/>
  <c r="C47" i="1"/>
  <c r="B47" i="1"/>
  <c r="W23" i="1"/>
  <c r="V23" i="1"/>
  <c r="Y16" i="1"/>
  <c r="Y9" i="1" s="1"/>
  <c r="X16" i="1"/>
  <c r="X9" i="1" s="1"/>
  <c r="Z9" i="1" s="1"/>
  <c r="P23" i="1"/>
  <c r="O23" i="1"/>
  <c r="O21" i="1"/>
  <c r="O22" i="1"/>
  <c r="R16" i="1"/>
  <c r="R9" i="1" s="1"/>
  <c r="Q16" i="1"/>
  <c r="Q9" i="1" s="1"/>
  <c r="S9" i="1" s="1"/>
  <c r="C62" i="1"/>
  <c r="D56" i="1" s="1"/>
  <c r="C61" i="1"/>
  <c r="D55" i="1" s="1"/>
  <c r="C60" i="1"/>
  <c r="C56" i="1" s="1"/>
  <c r="C59" i="1"/>
  <c r="C55" i="1" s="1"/>
  <c r="C58" i="1"/>
  <c r="B56" i="1" s="1"/>
  <c r="C57" i="1"/>
  <c r="B55" i="1"/>
  <c r="W22" i="1"/>
  <c r="V22" i="1"/>
  <c r="P22" i="1"/>
  <c r="W21" i="1"/>
  <c r="V21" i="1"/>
  <c r="P21" i="1"/>
  <c r="W20" i="1"/>
  <c r="V20" i="1"/>
  <c r="P20" i="1"/>
  <c r="O20" i="1"/>
  <c r="Y17" i="1"/>
  <c r="Y10" i="1" s="1"/>
  <c r="G48" i="1" s="1"/>
  <c r="X17" i="1"/>
  <c r="X10" i="1" s="1"/>
  <c r="R17" i="1"/>
  <c r="R10" i="1" s="1"/>
  <c r="C48" i="1" s="1"/>
  <c r="Q17" i="1"/>
  <c r="Q10" i="1" s="1"/>
  <c r="B48" i="1" s="1"/>
  <c r="Y15" i="1"/>
  <c r="X15" i="1"/>
  <c r="X8" i="1" s="1"/>
  <c r="F46" i="1" s="1"/>
  <c r="R15" i="1"/>
  <c r="R8" i="1" s="1"/>
  <c r="C46" i="1" s="1"/>
  <c r="Q15" i="1"/>
  <c r="Q8" i="1" s="1"/>
  <c r="B46" i="1" s="1"/>
  <c r="Y14" i="1"/>
  <c r="Y7" i="1" s="1"/>
  <c r="G45" i="1" s="1"/>
  <c r="X14" i="1"/>
  <c r="X7" i="1" s="1"/>
  <c r="R14" i="1"/>
  <c r="R7" i="1" s="1"/>
  <c r="C45" i="1" s="1"/>
  <c r="Q14" i="1"/>
  <c r="Q7" i="1" s="1"/>
  <c r="Y13" i="1"/>
  <c r="Y6" i="1" s="1"/>
  <c r="G44" i="1" s="1"/>
  <c r="X13" i="1"/>
  <c r="X6" i="1" s="1"/>
  <c r="R13" i="1"/>
  <c r="Q13" i="1"/>
  <c r="Q6" i="1" s="1"/>
  <c r="B44" i="1" s="1"/>
  <c r="J13" i="1"/>
  <c r="I13" i="1"/>
  <c r="C13" i="1"/>
  <c r="J12" i="1"/>
  <c r="I12" i="1"/>
  <c r="C12" i="1"/>
  <c r="B12" i="1"/>
  <c r="J11" i="1"/>
  <c r="I11" i="1"/>
  <c r="C11" i="1"/>
  <c r="B11" i="1"/>
  <c r="Y8" i="1"/>
  <c r="G46" i="1" s="1"/>
  <c r="R6" i="1"/>
  <c r="C44" i="1" s="1"/>
  <c r="Z8" i="1" l="1"/>
  <c r="S10" i="1"/>
  <c r="F48" i="1"/>
  <c r="Z10" i="1"/>
  <c r="X28" i="1"/>
  <c r="F44" i="1"/>
  <c r="Z6" i="1"/>
  <c r="B45" i="1"/>
  <c r="S7" i="1"/>
  <c r="Z7" i="1"/>
  <c r="F45" i="1"/>
  <c r="Q28" i="1"/>
  <c r="S6" i="1"/>
  <c r="S8" i="1"/>
</calcChain>
</file>

<file path=xl/sharedStrings.xml><?xml version="1.0" encoding="utf-8"?>
<sst xmlns="http://schemas.openxmlformats.org/spreadsheetml/2006/main" count="122" uniqueCount="34">
  <si>
    <t>FIO:</t>
  </si>
  <si>
    <t>μS</t>
  </si>
  <si>
    <t>MB/s</t>
  </si>
  <si>
    <t>顺序写</t>
  </si>
  <si>
    <t>P9999</t>
  </si>
  <si>
    <t>Throughput</t>
  </si>
  <si>
    <t>write amplification</t>
  </si>
  <si>
    <t>随机写</t>
  </si>
  <si>
    <t>顺序读</t>
  </si>
  <si>
    <t>model_hit</t>
  </si>
  <si>
    <t>cmt_hit</t>
  </si>
  <si>
    <t>随机读</t>
  </si>
  <si>
    <t>DFTL</t>
  </si>
  <si>
    <t>TPFTL</t>
  </si>
  <si>
    <t>LearnedFTL</t>
  </si>
  <si>
    <t>Seg-FTL</t>
  </si>
  <si>
    <t>total</t>
  </si>
  <si>
    <t>model</t>
  </si>
  <si>
    <t>cmt</t>
  </si>
  <si>
    <t>Write Amplification</t>
  </si>
  <si>
    <t>SeqWrite</t>
  </si>
  <si>
    <t>RandWrite</t>
  </si>
  <si>
    <t>Throughput(MB/s)</t>
  </si>
  <si>
    <t>SeqRead</t>
  </si>
  <si>
    <t>RandRead</t>
  </si>
  <si>
    <t>P9999 (ms)</t>
  </si>
  <si>
    <t>HitRatio (%)</t>
  </si>
  <si>
    <t>Model hit</t>
  </si>
  <si>
    <t>CMT hit</t>
  </si>
  <si>
    <t>4-thread</t>
  </si>
  <si>
    <t>5-thread</t>
  </si>
  <si>
    <t>6-thread</t>
  </si>
  <si>
    <t>Segment-based FTL</t>
  </si>
  <si>
    <t>S-FTL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</si>
</sst>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Z87"/>
  <sheetViews>
    <sheetView tabSelected="1" workbookViewId="0">
      <selection activeCell="I52" sqref="I52"/>
    </sheetView>
  </sheetViews>
  <sheetFormatPr defaultColWidth="9" defaultRowHeight="14.4" x14ac:dyDescent="0.25"/>
  <cols>
    <col min="1" max="1" width="9.33203125"/>
    <col min="2" max="2" width="12.6640625"/>
    <col min="3" max="3" width="12.77734375" customWidth="1"/>
    <col min="4" max="4" width="12.6640625"/>
    <col min="6" max="7" width="12.6640625"/>
    <col min="9" max="10" width="12.6640625"/>
    <col min="15" max="19" width="12.6640625"/>
    <col min="22" max="26" width="12.6640625"/>
  </cols>
  <sheetData>
    <row r="3" spans="1:26" x14ac:dyDescent="0.25">
      <c r="A3" t="s">
        <v>0</v>
      </c>
    </row>
    <row r="4" spans="1:26" x14ac:dyDescent="0.25">
      <c r="B4" t="s">
        <v>1</v>
      </c>
      <c r="C4" t="s">
        <v>2</v>
      </c>
    </row>
    <row r="5" spans="1:26" x14ac:dyDescent="0.25">
      <c r="A5" t="s">
        <v>3</v>
      </c>
      <c r="B5" t="s">
        <v>4</v>
      </c>
      <c r="C5" t="s">
        <v>5</v>
      </c>
      <c r="D5" t="s">
        <v>6</v>
      </c>
      <c r="H5" t="s">
        <v>7</v>
      </c>
      <c r="I5" t="s">
        <v>4</v>
      </c>
      <c r="J5" t="s">
        <v>5</v>
      </c>
      <c r="K5" t="s">
        <v>6</v>
      </c>
      <c r="N5" t="s">
        <v>8</v>
      </c>
      <c r="O5" t="s">
        <v>4</v>
      </c>
      <c r="P5" t="s">
        <v>5</v>
      </c>
      <c r="Q5" t="s">
        <v>9</v>
      </c>
      <c r="R5" t="s">
        <v>10</v>
      </c>
      <c r="U5" t="s">
        <v>11</v>
      </c>
      <c r="V5" t="s">
        <v>4</v>
      </c>
      <c r="W5" t="s">
        <v>5</v>
      </c>
      <c r="X5" t="s">
        <v>9</v>
      </c>
      <c r="Y5" t="s">
        <v>10</v>
      </c>
    </row>
    <row r="6" spans="1:26" x14ac:dyDescent="0.25">
      <c r="A6" t="s">
        <v>12</v>
      </c>
      <c r="B6">
        <v>299893</v>
      </c>
      <c r="C6">
        <v>174</v>
      </c>
      <c r="D6">
        <v>2.504</v>
      </c>
      <c r="H6" t="s">
        <v>12</v>
      </c>
      <c r="I6">
        <v>383779</v>
      </c>
      <c r="J6">
        <v>37.6</v>
      </c>
      <c r="K6">
        <v>8.2669999999999995</v>
      </c>
      <c r="N6" t="s">
        <v>12</v>
      </c>
      <c r="O6">
        <v>635</v>
      </c>
      <c r="P6">
        <v>558</v>
      </c>
      <c r="Q6">
        <f t="shared" ref="Q6:R9" si="0">Q13</f>
        <v>0</v>
      </c>
      <c r="R6">
        <f t="shared" si="0"/>
        <v>6.5303650075998719E-3</v>
      </c>
      <c r="S6">
        <f>Q6+R6</f>
        <v>6.5303650075998719E-3</v>
      </c>
      <c r="U6" t="s">
        <v>12</v>
      </c>
      <c r="V6">
        <v>603</v>
      </c>
      <c r="W6">
        <v>536</v>
      </c>
      <c r="X6">
        <f t="shared" ref="X6:Y9" si="1">X13</f>
        <v>0</v>
      </c>
      <c r="Y6">
        <f t="shared" si="1"/>
        <v>7.9440742976722087E-3</v>
      </c>
      <c r="Z6">
        <f>X6+Y6</f>
        <v>7.9440742976722087E-3</v>
      </c>
    </row>
    <row r="7" spans="1:26" x14ac:dyDescent="0.25">
      <c r="A7" t="s">
        <v>13</v>
      </c>
      <c r="B7">
        <v>254804</v>
      </c>
      <c r="C7">
        <v>184</v>
      </c>
      <c r="D7">
        <v>2.617</v>
      </c>
      <c r="H7" t="s">
        <v>13</v>
      </c>
      <c r="I7">
        <v>308282</v>
      </c>
      <c r="J7">
        <v>46.1</v>
      </c>
      <c r="K7">
        <v>7.8940000000000001</v>
      </c>
      <c r="N7" t="s">
        <v>13</v>
      </c>
      <c r="O7">
        <v>570</v>
      </c>
      <c r="P7">
        <v>846</v>
      </c>
      <c r="Q7">
        <f t="shared" si="0"/>
        <v>0</v>
      </c>
      <c r="R7">
        <f t="shared" si="0"/>
        <v>0.60589289523871748</v>
      </c>
      <c r="S7">
        <f>Q7+R7</f>
        <v>0.60589289523871748</v>
      </c>
      <c r="U7" t="s">
        <v>13</v>
      </c>
      <c r="V7">
        <v>594</v>
      </c>
      <c r="W7">
        <v>549</v>
      </c>
      <c r="X7">
        <f t="shared" si="1"/>
        <v>0</v>
      </c>
      <c r="Y7">
        <f t="shared" si="1"/>
        <v>4.5476634375780103E-2</v>
      </c>
      <c r="Z7">
        <f>X7+Y7</f>
        <v>4.5476634375780103E-2</v>
      </c>
    </row>
    <row r="8" spans="1:26" x14ac:dyDescent="0.25">
      <c r="A8" t="s">
        <v>14</v>
      </c>
      <c r="B8">
        <v>69731</v>
      </c>
      <c r="C8">
        <v>355</v>
      </c>
      <c r="D8">
        <v>1.046</v>
      </c>
      <c r="H8" t="s">
        <v>14</v>
      </c>
      <c r="I8">
        <v>78119</v>
      </c>
      <c r="J8">
        <v>194</v>
      </c>
      <c r="K8">
        <v>1.458</v>
      </c>
      <c r="N8" t="s">
        <v>14</v>
      </c>
      <c r="O8">
        <v>515</v>
      </c>
      <c r="P8">
        <v>902</v>
      </c>
      <c r="Q8">
        <f>Q15</f>
        <v>2.8230429573241674E-2</v>
      </c>
      <c r="R8">
        <f t="shared" si="0"/>
        <v>0.60757478786294983</v>
      </c>
      <c r="S8">
        <f>Q8+R8</f>
        <v>0.63580521743619145</v>
      </c>
      <c r="U8" t="s">
        <v>14</v>
      </c>
      <c r="V8">
        <v>586</v>
      </c>
      <c r="W8">
        <v>559</v>
      </c>
      <c r="X8">
        <f>X15</f>
        <v>3.0919925295818315E-2</v>
      </c>
      <c r="Y8">
        <f t="shared" si="1"/>
        <v>2.6976420434037588E-2</v>
      </c>
      <c r="Z8">
        <f>X8+Y8</f>
        <v>5.78963457298559E-2</v>
      </c>
    </row>
    <row r="9" spans="1:26" x14ac:dyDescent="0.25">
      <c r="A9" s="2" t="s">
        <v>33</v>
      </c>
      <c r="B9">
        <v>256902</v>
      </c>
      <c r="C9">
        <v>188</v>
      </c>
      <c r="D9">
        <v>2.5619999999999998</v>
      </c>
      <c r="H9" s="2" t="s">
        <v>33</v>
      </c>
      <c r="I9">
        <v>329253</v>
      </c>
      <c r="J9">
        <v>59.2</v>
      </c>
      <c r="K9">
        <v>8.39</v>
      </c>
      <c r="N9" s="2" t="s">
        <v>33</v>
      </c>
      <c r="O9">
        <v>258</v>
      </c>
      <c r="P9">
        <v>1223</v>
      </c>
      <c r="Q9">
        <f>Q16</f>
        <v>0</v>
      </c>
      <c r="R9">
        <f t="shared" si="0"/>
        <v>0.98939224010514404</v>
      </c>
      <c r="S9">
        <f>Q9+R9</f>
        <v>0.98939224010514404</v>
      </c>
      <c r="U9" s="2" t="s">
        <v>33</v>
      </c>
      <c r="V9">
        <v>578</v>
      </c>
      <c r="W9">
        <v>598</v>
      </c>
      <c r="X9">
        <f>X16</f>
        <v>0</v>
      </c>
      <c r="Y9">
        <f t="shared" si="1"/>
        <v>0.15459619857181284</v>
      </c>
      <c r="Z9">
        <f>X9+Y9</f>
        <v>0.15459619857181284</v>
      </c>
    </row>
    <row r="10" spans="1:26" x14ac:dyDescent="0.25">
      <c r="A10" t="s">
        <v>15</v>
      </c>
      <c r="B10">
        <v>19268</v>
      </c>
      <c r="C10">
        <v>360</v>
      </c>
      <c r="D10">
        <v>1.0349999999999999</v>
      </c>
      <c r="H10" t="s">
        <v>15</v>
      </c>
      <c r="I10">
        <v>14091</v>
      </c>
      <c r="J10">
        <v>239</v>
      </c>
      <c r="K10">
        <v>1.302</v>
      </c>
      <c r="N10" t="s">
        <v>15</v>
      </c>
      <c r="O10">
        <v>231</v>
      </c>
      <c r="P10">
        <v>1276</v>
      </c>
      <c r="Q10">
        <f>Q17</f>
        <v>0.55735917249511724</v>
      </c>
      <c r="R10">
        <f>R17</f>
        <v>0.43868018310670831</v>
      </c>
      <c r="S10">
        <f>Q10+R10</f>
        <v>0.99603935560182555</v>
      </c>
      <c r="U10" t="s">
        <v>15</v>
      </c>
      <c r="V10">
        <v>404</v>
      </c>
      <c r="W10">
        <v>958</v>
      </c>
      <c r="X10">
        <f>X17</f>
        <v>0.55735917249511724</v>
      </c>
      <c r="Y10">
        <f>Y17</f>
        <v>0.19206302348681081</v>
      </c>
      <c r="Z10">
        <f>X10+Y10</f>
        <v>0.74942219598192805</v>
      </c>
    </row>
    <row r="11" spans="1:26" x14ac:dyDescent="0.25">
      <c r="B11">
        <f>B6/B10</f>
        <v>15.564303508407722</v>
      </c>
      <c r="C11">
        <f>C10/C6</f>
        <v>2.0689655172413794</v>
      </c>
      <c r="I11">
        <f>I6/I10</f>
        <v>27.23575331772053</v>
      </c>
      <c r="J11">
        <f>J10/J6</f>
        <v>6.3563829787234036</v>
      </c>
    </row>
    <row r="12" spans="1:26" x14ac:dyDescent="0.25">
      <c r="B12">
        <f>B7/B10</f>
        <v>13.224205937305376</v>
      </c>
      <c r="C12">
        <f>C10/C7</f>
        <v>1.9565217391304348</v>
      </c>
      <c r="I12">
        <f>I7/I10</f>
        <v>21.877936271378893</v>
      </c>
      <c r="J12">
        <f>J10/J7</f>
        <v>5.1843817787418658</v>
      </c>
      <c r="N12" t="s">
        <v>16</v>
      </c>
      <c r="O12" t="s">
        <v>17</v>
      </c>
      <c r="P12" t="s">
        <v>18</v>
      </c>
      <c r="Q12" t="s">
        <v>9</v>
      </c>
      <c r="R12" t="s">
        <v>10</v>
      </c>
      <c r="U12" t="s">
        <v>16</v>
      </c>
      <c r="V12" t="s">
        <v>17</v>
      </c>
      <c r="W12" t="s">
        <v>18</v>
      </c>
      <c r="X12" t="s">
        <v>9</v>
      </c>
      <c r="Y12" t="s">
        <v>10</v>
      </c>
    </row>
    <row r="13" spans="1:26" x14ac:dyDescent="0.25">
      <c r="B13">
        <f>B8/B10</f>
        <v>3.6190056051484327</v>
      </c>
      <c r="C13">
        <f>C10/C8</f>
        <v>1.0140845070422535</v>
      </c>
      <c r="I13">
        <f>I8/I10</f>
        <v>5.5438932652047406</v>
      </c>
      <c r="J13">
        <f>J10/J8</f>
        <v>1.231958762886598</v>
      </c>
      <c r="M13" t="s">
        <v>12</v>
      </c>
      <c r="N13">
        <v>4959294</v>
      </c>
      <c r="O13">
        <v>0</v>
      </c>
      <c r="P13">
        <v>32386</v>
      </c>
      <c r="Q13">
        <f>O13/N13</f>
        <v>0</v>
      </c>
      <c r="R13">
        <f>P13/N13</f>
        <v>6.5303650075998719E-3</v>
      </c>
      <c r="T13" t="s">
        <v>12</v>
      </c>
      <c r="U13">
        <v>4959294</v>
      </c>
      <c r="V13">
        <v>0</v>
      </c>
      <c r="W13">
        <v>39397</v>
      </c>
      <c r="X13">
        <f>V13/U13</f>
        <v>0</v>
      </c>
      <c r="Y13">
        <f>W13/U13</f>
        <v>7.9440742976722087E-3</v>
      </c>
    </row>
    <row r="14" spans="1:26" x14ac:dyDescent="0.25">
      <c r="B14">
        <f>B9/B10</f>
        <v>13.333091135561553</v>
      </c>
      <c r="C14">
        <f>C10/C9</f>
        <v>1.9148936170212767</v>
      </c>
      <c r="I14">
        <f>I9/I10</f>
        <v>23.366191185863318</v>
      </c>
      <c r="J14">
        <f>J10/J9</f>
        <v>4.0371621621621623</v>
      </c>
      <c r="M14" t="s">
        <v>13</v>
      </c>
      <c r="N14">
        <v>4959294</v>
      </c>
      <c r="O14">
        <v>0</v>
      </c>
      <c r="P14">
        <v>3004801</v>
      </c>
      <c r="Q14">
        <f>O14/N14</f>
        <v>0</v>
      </c>
      <c r="R14">
        <f>P14/N14</f>
        <v>0.60589289523871748</v>
      </c>
      <c r="T14" t="s">
        <v>13</v>
      </c>
      <c r="U14">
        <v>4959294</v>
      </c>
      <c r="V14">
        <v>0</v>
      </c>
      <c r="W14">
        <v>225532</v>
      </c>
      <c r="X14">
        <f>V14/U14</f>
        <v>0</v>
      </c>
      <c r="Y14">
        <f>W14/U14</f>
        <v>4.5476634375780103E-2</v>
      </c>
    </row>
    <row r="15" spans="1:26" x14ac:dyDescent="0.25">
      <c r="M15" t="s">
        <v>14</v>
      </c>
      <c r="N15">
        <v>4959294</v>
      </c>
      <c r="O15">
        <v>140003</v>
      </c>
      <c r="P15">
        <v>3013142</v>
      </c>
      <c r="Q15">
        <f>O15/N15</f>
        <v>2.8230429573241674E-2</v>
      </c>
      <c r="R15">
        <f>P15/N15</f>
        <v>0.60757478786294983</v>
      </c>
      <c r="T15" t="s">
        <v>14</v>
      </c>
      <c r="U15">
        <v>4959294</v>
      </c>
      <c r="V15">
        <v>153341</v>
      </c>
      <c r="W15">
        <v>133784</v>
      </c>
      <c r="X15">
        <f>V15/U15</f>
        <v>3.0919925295818315E-2</v>
      </c>
      <c r="Y15">
        <f>W15/U15</f>
        <v>2.6976420434037588E-2</v>
      </c>
    </row>
    <row r="16" spans="1:26" x14ac:dyDescent="0.25">
      <c r="M16" s="2" t="s">
        <v>33</v>
      </c>
      <c r="N16">
        <v>4959294</v>
      </c>
      <c r="O16">
        <v>0</v>
      </c>
      <c r="P16">
        <v>4906687</v>
      </c>
      <c r="Q16">
        <f>O16/N16</f>
        <v>0</v>
      </c>
      <c r="R16">
        <f>P16/N16</f>
        <v>0.98939224010514404</v>
      </c>
      <c r="T16" s="2" t="s">
        <v>33</v>
      </c>
      <c r="U16">
        <v>4959294</v>
      </c>
      <c r="V16">
        <v>0</v>
      </c>
      <c r="W16">
        <v>766688</v>
      </c>
      <c r="X16">
        <f>V16/U16</f>
        <v>0</v>
      </c>
      <c r="Y16">
        <f>W16/U16</f>
        <v>0.15459619857181284</v>
      </c>
    </row>
    <row r="17" spans="1:25" x14ac:dyDescent="0.25">
      <c r="M17" t="s">
        <v>15</v>
      </c>
      <c r="N17">
        <v>4959294</v>
      </c>
      <c r="O17">
        <v>2764108</v>
      </c>
      <c r="P17">
        <v>2175544</v>
      </c>
      <c r="Q17">
        <f>O17/N17</f>
        <v>0.55735917249511724</v>
      </c>
      <c r="R17">
        <f>P17/N17</f>
        <v>0.43868018310670831</v>
      </c>
      <c r="T17" t="s">
        <v>15</v>
      </c>
      <c r="U17">
        <v>4959294</v>
      </c>
      <c r="V17">
        <v>2764108</v>
      </c>
      <c r="W17">
        <v>952497</v>
      </c>
      <c r="X17">
        <f>V17/U17</f>
        <v>0.55735917249511724</v>
      </c>
      <c r="Y17">
        <f>W17/U17</f>
        <v>0.19206302348681081</v>
      </c>
    </row>
    <row r="20" spans="1:25" x14ac:dyDescent="0.25">
      <c r="O20">
        <f>O6/O10</f>
        <v>2.7489177489177488</v>
      </c>
      <c r="P20">
        <f>P10/P6</f>
        <v>2.2867383512544803</v>
      </c>
      <c r="V20">
        <f>V6/V10</f>
        <v>1.4925742574257426</v>
      </c>
      <c r="W20">
        <f>W10/W6</f>
        <v>1.7873134328358209</v>
      </c>
    </row>
    <row r="21" spans="1:25" x14ac:dyDescent="0.25">
      <c r="O21">
        <f>O7/O10</f>
        <v>2.4675324675324677</v>
      </c>
      <c r="P21">
        <f>P10/P7</f>
        <v>1.508274231678487</v>
      </c>
      <c r="V21">
        <f>V7/V10</f>
        <v>1.4702970297029703</v>
      </c>
      <c r="W21">
        <f>W10/W7</f>
        <v>1.7449908925318762</v>
      </c>
    </row>
    <row r="22" spans="1:25" x14ac:dyDescent="0.25">
      <c r="O22">
        <f>O8/O10</f>
        <v>2.2294372294372296</v>
      </c>
      <c r="P22">
        <f>P10/P8</f>
        <v>1.4146341463414633</v>
      </c>
      <c r="V22">
        <f>V8/V10</f>
        <v>1.4504950495049505</v>
      </c>
      <c r="W22">
        <f>W10/W8</f>
        <v>1.7137745974955276</v>
      </c>
    </row>
    <row r="23" spans="1:25" x14ac:dyDescent="0.25">
      <c r="A23" t="s">
        <v>19</v>
      </c>
      <c r="B23" t="s">
        <v>12</v>
      </c>
      <c r="C23" t="s">
        <v>13</v>
      </c>
      <c r="D23" t="s">
        <v>14</v>
      </c>
      <c r="E23" s="2" t="s">
        <v>33</v>
      </c>
      <c r="F23" t="s">
        <v>15</v>
      </c>
      <c r="O23">
        <f>O9/O10</f>
        <v>1.1168831168831168</v>
      </c>
      <c r="P23">
        <f>P10/P9</f>
        <v>1.0433360588716272</v>
      </c>
      <c r="V23">
        <f>V9/V10</f>
        <v>1.4306930693069306</v>
      </c>
      <c r="W23">
        <f>W10/W9</f>
        <v>1.6020066889632107</v>
      </c>
    </row>
    <row r="24" spans="1:25" x14ac:dyDescent="0.25">
      <c r="A24" t="s">
        <v>20</v>
      </c>
      <c r="B24">
        <v>2.504</v>
      </c>
      <c r="C24">
        <v>2.617</v>
      </c>
      <c r="D24">
        <v>1.046</v>
      </c>
      <c r="E24">
        <v>2.5619999999999998</v>
      </c>
      <c r="F24">
        <v>1.0349999999999999</v>
      </c>
    </row>
    <row r="25" spans="1:25" x14ac:dyDescent="0.25">
      <c r="A25" t="s">
        <v>21</v>
      </c>
      <c r="B25">
        <v>8.2669999999999995</v>
      </c>
      <c r="C25">
        <v>7.8940000000000001</v>
      </c>
      <c r="D25">
        <v>1.458</v>
      </c>
      <c r="E25">
        <v>8.39</v>
      </c>
      <c r="F25">
        <v>1.302</v>
      </c>
    </row>
    <row r="28" spans="1:25" x14ac:dyDescent="0.25">
      <c r="Q28">
        <f>Q17/Q15</f>
        <v>19.743205502739226</v>
      </c>
      <c r="X28">
        <f>X10/X8</f>
        <v>18.025890009847334</v>
      </c>
    </row>
    <row r="29" spans="1:25" x14ac:dyDescent="0.25">
      <c r="A29" t="s">
        <v>22</v>
      </c>
      <c r="B29" t="s">
        <v>12</v>
      </c>
      <c r="C29" t="s">
        <v>13</v>
      </c>
      <c r="D29" t="s">
        <v>14</v>
      </c>
      <c r="E29" s="2" t="s">
        <v>33</v>
      </c>
      <c r="F29" t="s">
        <v>15</v>
      </c>
    </row>
    <row r="30" spans="1:25" x14ac:dyDescent="0.25">
      <c r="A30" t="s">
        <v>20</v>
      </c>
      <c r="B30">
        <v>174</v>
      </c>
      <c r="C30">
        <v>184</v>
      </c>
      <c r="D30">
        <v>355</v>
      </c>
      <c r="E30">
        <v>188</v>
      </c>
      <c r="F30">
        <v>360</v>
      </c>
    </row>
    <row r="31" spans="1:25" x14ac:dyDescent="0.25">
      <c r="A31" t="s">
        <v>21</v>
      </c>
      <c r="B31">
        <v>37.6</v>
      </c>
      <c r="C31">
        <v>46.1</v>
      </c>
      <c r="D31">
        <v>194</v>
      </c>
      <c r="E31">
        <v>59.2</v>
      </c>
      <c r="F31">
        <v>239</v>
      </c>
    </row>
    <row r="32" spans="1:25" x14ac:dyDescent="0.25">
      <c r="A32" t="s">
        <v>23</v>
      </c>
      <c r="B32">
        <v>558</v>
      </c>
      <c r="C32">
        <v>846</v>
      </c>
      <c r="D32">
        <v>902</v>
      </c>
      <c r="E32">
        <v>1223</v>
      </c>
      <c r="F32">
        <v>1276</v>
      </c>
    </row>
    <row r="33" spans="1:7" x14ac:dyDescent="0.25">
      <c r="A33" t="s">
        <v>24</v>
      </c>
      <c r="B33">
        <v>536</v>
      </c>
      <c r="C33">
        <v>549</v>
      </c>
      <c r="D33">
        <v>559</v>
      </c>
      <c r="E33">
        <v>598</v>
      </c>
      <c r="F33">
        <v>958</v>
      </c>
    </row>
    <row r="36" spans="1:7" x14ac:dyDescent="0.25">
      <c r="A36" t="s">
        <v>25</v>
      </c>
      <c r="B36" t="s">
        <v>12</v>
      </c>
      <c r="C36" t="s">
        <v>13</v>
      </c>
      <c r="D36" t="s">
        <v>14</v>
      </c>
      <c r="E36" s="2" t="s">
        <v>33</v>
      </c>
      <c r="F36" t="s">
        <v>15</v>
      </c>
    </row>
    <row r="37" spans="1:7" x14ac:dyDescent="0.25">
      <c r="A37" t="s">
        <v>20</v>
      </c>
      <c r="B37">
        <v>299893</v>
      </c>
      <c r="C37">
        <v>254804</v>
      </c>
      <c r="D37">
        <v>69731</v>
      </c>
      <c r="E37">
        <v>256902</v>
      </c>
      <c r="F37">
        <v>19268</v>
      </c>
    </row>
    <row r="38" spans="1:7" x14ac:dyDescent="0.25">
      <c r="A38" t="s">
        <v>21</v>
      </c>
      <c r="B38">
        <v>383779</v>
      </c>
      <c r="C38">
        <v>308282</v>
      </c>
      <c r="D38">
        <v>78119</v>
      </c>
      <c r="E38">
        <v>329253</v>
      </c>
      <c r="F38">
        <v>14091</v>
      </c>
    </row>
    <row r="39" spans="1:7" x14ac:dyDescent="0.25">
      <c r="A39" t="s">
        <v>23</v>
      </c>
      <c r="B39">
        <v>635</v>
      </c>
      <c r="C39">
        <v>570</v>
      </c>
      <c r="D39">
        <v>515</v>
      </c>
      <c r="E39">
        <v>258</v>
      </c>
      <c r="F39">
        <v>231</v>
      </c>
    </row>
    <row r="40" spans="1:7" x14ac:dyDescent="0.25">
      <c r="A40" t="s">
        <v>24</v>
      </c>
      <c r="B40">
        <v>603</v>
      </c>
      <c r="C40">
        <v>594</v>
      </c>
      <c r="D40">
        <v>586</v>
      </c>
      <c r="E40">
        <v>578</v>
      </c>
      <c r="F40">
        <v>404</v>
      </c>
    </row>
    <row r="43" spans="1:7" x14ac:dyDescent="0.25">
      <c r="A43" t="s">
        <v>26</v>
      </c>
      <c r="B43" t="s">
        <v>27</v>
      </c>
      <c r="C43" t="s">
        <v>28</v>
      </c>
      <c r="F43" t="s">
        <v>27</v>
      </c>
      <c r="G43" t="s">
        <v>28</v>
      </c>
    </row>
    <row r="44" spans="1:7" x14ac:dyDescent="0.25">
      <c r="A44" t="s">
        <v>12</v>
      </c>
      <c r="B44">
        <f t="shared" ref="B44:C47" si="2">Q6*100</f>
        <v>0</v>
      </c>
      <c r="C44">
        <f t="shared" si="2"/>
        <v>0.6530365007599872</v>
      </c>
      <c r="F44">
        <f t="shared" ref="F44:G47" si="3">X6*100</f>
        <v>0</v>
      </c>
      <c r="G44">
        <f t="shared" si="3"/>
        <v>0.7944074297672209</v>
      </c>
    </row>
    <row r="45" spans="1:7" x14ac:dyDescent="0.25">
      <c r="A45" t="s">
        <v>13</v>
      </c>
      <c r="B45">
        <f t="shared" si="2"/>
        <v>0</v>
      </c>
      <c r="C45">
        <f t="shared" si="2"/>
        <v>60.589289523871749</v>
      </c>
      <c r="F45">
        <f t="shared" si="3"/>
        <v>0</v>
      </c>
      <c r="G45">
        <f t="shared" si="3"/>
        <v>4.5476634375780103</v>
      </c>
    </row>
    <row r="46" spans="1:7" x14ac:dyDescent="0.25">
      <c r="A46" t="s">
        <v>14</v>
      </c>
      <c r="B46">
        <f t="shared" si="2"/>
        <v>2.8230429573241675</v>
      </c>
      <c r="C46">
        <f t="shared" si="2"/>
        <v>60.757478786294982</v>
      </c>
      <c r="F46">
        <f t="shared" si="3"/>
        <v>3.0919925295818316</v>
      </c>
      <c r="G46">
        <f t="shared" si="3"/>
        <v>2.6976420434037589</v>
      </c>
    </row>
    <row r="47" spans="1:7" x14ac:dyDescent="0.25">
      <c r="A47" s="2" t="s">
        <v>33</v>
      </c>
      <c r="B47">
        <f t="shared" si="2"/>
        <v>0</v>
      </c>
      <c r="C47">
        <f t="shared" si="2"/>
        <v>98.939224010514408</v>
      </c>
      <c r="F47">
        <f t="shared" si="3"/>
        <v>0</v>
      </c>
      <c r="G47">
        <f t="shared" si="3"/>
        <v>15.459619857181284</v>
      </c>
    </row>
    <row r="48" spans="1:7" x14ac:dyDescent="0.25">
      <c r="A48" t="s">
        <v>15</v>
      </c>
      <c r="B48">
        <f>Q10*100</f>
        <v>55.735917249511722</v>
      </c>
      <c r="C48">
        <f>R10*100</f>
        <v>43.868018310670834</v>
      </c>
      <c r="F48">
        <f>X10*100</f>
        <v>55.735917249511722</v>
      </c>
      <c r="G48">
        <f>Y10*100</f>
        <v>19.206302348681081</v>
      </c>
    </row>
    <row r="54" spans="1:9" x14ac:dyDescent="0.25">
      <c r="A54" t="s">
        <v>19</v>
      </c>
      <c r="B54" t="s">
        <v>29</v>
      </c>
      <c r="C54" t="s">
        <v>30</v>
      </c>
      <c r="D54" t="s">
        <v>31</v>
      </c>
    </row>
    <row r="55" spans="1:9" x14ac:dyDescent="0.25">
      <c r="A55" t="s">
        <v>14</v>
      </c>
      <c r="B55">
        <f>C57</f>
        <v>1.2842256546020507</v>
      </c>
      <c r="C55">
        <f>C59</f>
        <v>1.2176320648193359</v>
      </c>
      <c r="D55">
        <f>C61</f>
        <v>1.3695923805236816</v>
      </c>
    </row>
    <row r="56" spans="1:9" x14ac:dyDescent="0.25">
      <c r="A56" t="s">
        <v>15</v>
      </c>
      <c r="B56">
        <f>C58</f>
        <v>1.0686684131622315</v>
      </c>
      <c r="C56">
        <f>C60</f>
        <v>1.0750616455078126</v>
      </c>
      <c r="D56">
        <f>C62</f>
        <v>1.0977303822835287</v>
      </c>
      <c r="G56">
        <v>1.2842256546020501</v>
      </c>
      <c r="H56">
        <v>1.2176320648193399</v>
      </c>
      <c r="I56">
        <v>1.36959238052368</v>
      </c>
    </row>
    <row r="57" spans="1:9" x14ac:dyDescent="0.25">
      <c r="A57">
        <v>20971520</v>
      </c>
      <c r="B57">
        <v>26932164</v>
      </c>
      <c r="C57">
        <f t="shared" ref="C57:C62" si="4">B57/A57</f>
        <v>1.2842256546020507</v>
      </c>
      <c r="G57">
        <v>1.0686684131622299</v>
      </c>
      <c r="H57">
        <v>1.0750616455078099</v>
      </c>
      <c r="I57">
        <v>1.09773038228353</v>
      </c>
    </row>
    <row r="58" spans="1:9" x14ac:dyDescent="0.25">
      <c r="A58">
        <v>20971520</v>
      </c>
      <c r="B58">
        <v>22411601</v>
      </c>
      <c r="C58">
        <f t="shared" si="4"/>
        <v>1.0686684131622315</v>
      </c>
    </row>
    <row r="59" spans="1:9" x14ac:dyDescent="0.25">
      <c r="A59">
        <v>26214400</v>
      </c>
      <c r="B59">
        <v>31919494</v>
      </c>
      <c r="C59">
        <f t="shared" si="4"/>
        <v>1.2176320648193359</v>
      </c>
    </row>
    <row r="60" spans="1:9" x14ac:dyDescent="0.25">
      <c r="A60">
        <v>26214400</v>
      </c>
      <c r="B60">
        <v>28182096</v>
      </c>
      <c r="C60">
        <f t="shared" si="4"/>
        <v>1.0750616455078126</v>
      </c>
    </row>
    <row r="61" spans="1:9" x14ac:dyDescent="0.25">
      <c r="A61">
        <v>31457280</v>
      </c>
      <c r="B61">
        <v>43083651</v>
      </c>
      <c r="C61">
        <f t="shared" si="4"/>
        <v>1.3695923805236816</v>
      </c>
    </row>
    <row r="62" spans="1:9" x14ac:dyDescent="0.25">
      <c r="A62">
        <v>31457280</v>
      </c>
      <c r="B62">
        <v>34531612</v>
      </c>
      <c r="C62">
        <f t="shared" si="4"/>
        <v>1.0977303822835287</v>
      </c>
    </row>
    <row r="68" spans="2:4" x14ac:dyDescent="0.25">
      <c r="B68" t="s">
        <v>19</v>
      </c>
      <c r="C68" t="s">
        <v>14</v>
      </c>
      <c r="D68" t="s">
        <v>15</v>
      </c>
    </row>
    <row r="69" spans="2:4" x14ac:dyDescent="0.25">
      <c r="B69" t="s">
        <v>29</v>
      </c>
      <c r="C69">
        <v>1.2842256546020501</v>
      </c>
      <c r="D69">
        <v>1.0686684131622299</v>
      </c>
    </row>
    <row r="70" spans="2:4" x14ac:dyDescent="0.25">
      <c r="B70" t="s">
        <v>30</v>
      </c>
      <c r="C70">
        <v>1.2176320648193399</v>
      </c>
      <c r="D70">
        <v>1.0750616455078099</v>
      </c>
    </row>
    <row r="71" spans="2:4" x14ac:dyDescent="0.25">
      <c r="B71" t="s">
        <v>31</v>
      </c>
      <c r="C71">
        <v>1.36959238052368</v>
      </c>
      <c r="D71">
        <v>1.09773038228353</v>
      </c>
    </row>
    <row r="77" spans="2:4" x14ac:dyDescent="0.25">
      <c r="B77" t="s">
        <v>13</v>
      </c>
      <c r="C77" t="s">
        <v>32</v>
      </c>
    </row>
    <row r="78" spans="2:4" x14ac:dyDescent="0.25">
      <c r="B78">
        <v>1</v>
      </c>
      <c r="C78" s="1">
        <v>16.7</v>
      </c>
    </row>
    <row r="81" spans="1:3" x14ac:dyDescent="0.25">
      <c r="B81" t="s">
        <v>13</v>
      </c>
      <c r="C81" t="s">
        <v>32</v>
      </c>
    </row>
    <row r="82" spans="1:3" x14ac:dyDescent="0.25">
      <c r="A82" t="s">
        <v>23</v>
      </c>
      <c r="B82">
        <v>896</v>
      </c>
      <c r="C82">
        <v>1284</v>
      </c>
    </row>
    <row r="83" spans="1:3" x14ac:dyDescent="0.25">
      <c r="A83" t="s">
        <v>24</v>
      </c>
      <c r="B83">
        <v>546</v>
      </c>
      <c r="C83">
        <v>742</v>
      </c>
    </row>
    <row r="85" spans="1:3" x14ac:dyDescent="0.25">
      <c r="A85" t="s">
        <v>26</v>
      </c>
      <c r="B85" t="s">
        <v>13</v>
      </c>
      <c r="C85" t="s">
        <v>32</v>
      </c>
    </row>
    <row r="86" spans="1:3" x14ac:dyDescent="0.25">
      <c r="A86" t="s">
        <v>23</v>
      </c>
      <c r="B86">
        <v>62.37</v>
      </c>
      <c r="C86">
        <v>99.15</v>
      </c>
    </row>
    <row r="87" spans="1:3" x14ac:dyDescent="0.25">
      <c r="A87" t="s">
        <v>24</v>
      </c>
      <c r="B87">
        <v>2.12</v>
      </c>
      <c r="C87">
        <v>40.840000000000003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小轩 付</cp:lastModifiedBy>
  <dcterms:created xsi:type="dcterms:W3CDTF">2023-05-12T11:15:00Z</dcterms:created>
  <dcterms:modified xsi:type="dcterms:W3CDTF">2025-11-22T11:27:32Z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9DA27EB3E803412EBAA1456F203719C6_12</vt:lpwstr>
  </property>
</Properties>
</file>