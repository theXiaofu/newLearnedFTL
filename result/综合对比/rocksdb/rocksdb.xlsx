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7207\Desktop\SegFTL2.0修改版\SegFTL2.0大修版\实验结果2.0\综合对比\rocksdb\"/>
    </mc:Choice>
  </mc:AlternateContent>
  <xr:revisionPtr revIDLastSave="0" documentId="13_ncr:1_{0F7A2C92-B9F9-496A-BF40-BEB7491DDD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V17" i="1"/>
  <c r="S17" i="1"/>
  <c r="N17" i="1"/>
  <c r="H17" i="1"/>
  <c r="B16" i="1"/>
  <c r="B15" i="1"/>
  <c r="B14" i="1"/>
  <c r="T11" i="1"/>
  <c r="O11" i="1"/>
  <c r="C11" i="1"/>
  <c r="I11" i="1"/>
  <c r="C12" i="1"/>
  <c r="S16" i="1"/>
  <c r="N16" i="1"/>
  <c r="V16" i="1" s="1"/>
  <c r="H16" i="1"/>
  <c r="S15" i="1"/>
  <c r="N15" i="1"/>
  <c r="H15" i="1"/>
  <c r="S14" i="1"/>
  <c r="V14" i="1" s="1"/>
  <c r="N14" i="1"/>
  <c r="H14" i="1"/>
  <c r="T12" i="1"/>
  <c r="O12" i="1"/>
  <c r="I12" i="1"/>
  <c r="T10" i="1"/>
  <c r="O10" i="1"/>
  <c r="I10" i="1"/>
  <c r="C10" i="1"/>
  <c r="T9" i="1"/>
  <c r="O9" i="1"/>
  <c r="I9" i="1"/>
  <c r="C9" i="1"/>
  <c r="T8" i="1"/>
  <c r="O8" i="1"/>
  <c r="I8" i="1"/>
  <c r="C8" i="1"/>
  <c r="V15" i="1" l="1"/>
</calcChain>
</file>

<file path=xl/sharedStrings.xml><?xml version="1.0" encoding="utf-8"?>
<sst xmlns="http://schemas.openxmlformats.org/spreadsheetml/2006/main" count="32" uniqueCount="11">
  <si>
    <t>fillseq</t>
  </si>
  <si>
    <t>throughput MB/s</t>
  </si>
  <si>
    <t>Normalized Throughput</t>
  </si>
  <si>
    <t>overwrite</t>
  </si>
  <si>
    <t>readseq</t>
  </si>
  <si>
    <t>readrandom</t>
  </si>
  <si>
    <t>DFTL</t>
  </si>
  <si>
    <t>TPFTL</t>
  </si>
  <si>
    <t>LearnedFTL</t>
  </si>
  <si>
    <t>Seg-FTL</t>
  </si>
  <si>
    <t>S-FTL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</si>
</sst>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V17"/>
  <sheetViews>
    <sheetView tabSelected="1" workbookViewId="0">
      <selection activeCell="E19" sqref="E19"/>
    </sheetView>
  </sheetViews>
  <sheetFormatPr defaultColWidth="9" defaultRowHeight="14.4" x14ac:dyDescent="0.25"/>
  <cols>
    <col min="2" max="3" width="12.6640625"/>
    <col min="8" max="9" width="12.6640625"/>
    <col min="14" max="15" width="12.6640625"/>
    <col min="19" max="20" width="12.6640625"/>
    <col min="22" max="22" width="12.6640625"/>
  </cols>
  <sheetData>
    <row r="7" spans="1:22" x14ac:dyDescent="0.25">
      <c r="A7" t="s">
        <v>0</v>
      </c>
      <c r="B7" t="s">
        <v>1</v>
      </c>
      <c r="C7" t="s">
        <v>2</v>
      </c>
      <c r="G7" t="s">
        <v>3</v>
      </c>
      <c r="H7" t="s">
        <v>1</v>
      </c>
      <c r="I7" t="s">
        <v>2</v>
      </c>
      <c r="M7" t="s">
        <v>4</v>
      </c>
      <c r="N7" t="s">
        <v>1</v>
      </c>
      <c r="O7" t="s">
        <v>2</v>
      </c>
      <c r="R7" t="s">
        <v>5</v>
      </c>
      <c r="S7" t="s">
        <v>1</v>
      </c>
      <c r="T7" t="s">
        <v>2</v>
      </c>
    </row>
    <row r="8" spans="1:22" x14ac:dyDescent="0.25">
      <c r="A8" t="s">
        <v>6</v>
      </c>
      <c r="B8">
        <v>409.6</v>
      </c>
      <c r="C8">
        <f>B8/B8</f>
        <v>1</v>
      </c>
      <c r="G8" t="s">
        <v>6</v>
      </c>
      <c r="H8">
        <v>45.5</v>
      </c>
      <c r="I8">
        <f>H8/H8</f>
        <v>1</v>
      </c>
      <c r="M8" t="s">
        <v>6</v>
      </c>
      <c r="N8">
        <v>52.4</v>
      </c>
      <c r="O8">
        <f>N8/N8</f>
        <v>1</v>
      </c>
      <c r="R8" t="s">
        <v>6</v>
      </c>
      <c r="S8">
        <v>60.7</v>
      </c>
      <c r="T8">
        <f>S8/S8</f>
        <v>1</v>
      </c>
    </row>
    <row r="9" spans="1:22" x14ac:dyDescent="0.25">
      <c r="A9" t="s">
        <v>7</v>
      </c>
      <c r="B9">
        <v>416.3</v>
      </c>
      <c r="C9">
        <f>B9/B8</f>
        <v>1.016357421875</v>
      </c>
      <c r="G9" t="s">
        <v>7</v>
      </c>
      <c r="H9">
        <v>171.2</v>
      </c>
      <c r="I9">
        <f>H9/H8</f>
        <v>3.7626373626373626</v>
      </c>
      <c r="M9" t="s">
        <v>7</v>
      </c>
      <c r="N9">
        <v>358.7</v>
      </c>
      <c r="O9">
        <f>N9/N8</f>
        <v>6.8454198473282446</v>
      </c>
      <c r="R9" t="s">
        <v>7</v>
      </c>
      <c r="S9">
        <v>87.1</v>
      </c>
      <c r="T9">
        <f>S9/S8</f>
        <v>1.4349258649093903</v>
      </c>
    </row>
    <row r="10" spans="1:22" x14ac:dyDescent="0.25">
      <c r="A10" t="s">
        <v>8</v>
      </c>
      <c r="B10">
        <v>416.8</v>
      </c>
      <c r="C10">
        <f>B10/B8</f>
        <v>1.017578125</v>
      </c>
      <c r="G10" t="s">
        <v>8</v>
      </c>
      <c r="H10">
        <v>167.1</v>
      </c>
      <c r="I10">
        <f>H10/H8</f>
        <v>3.6725274725274724</v>
      </c>
      <c r="M10" t="s">
        <v>8</v>
      </c>
      <c r="N10">
        <v>322.5</v>
      </c>
      <c r="O10">
        <f>N10/N8</f>
        <v>6.1545801526717563</v>
      </c>
      <c r="R10" t="s">
        <v>8</v>
      </c>
      <c r="S10">
        <v>84.1</v>
      </c>
      <c r="T10">
        <f>S10/S8</f>
        <v>1.3855024711696868</v>
      </c>
    </row>
    <row r="11" spans="1:22" x14ac:dyDescent="0.25">
      <c r="A11" s="1" t="s">
        <v>10</v>
      </c>
      <c r="B11">
        <v>409.2</v>
      </c>
      <c r="C11">
        <f>B11/B8</f>
        <v>0.99902343749999989</v>
      </c>
      <c r="G11" s="1" t="s">
        <v>10</v>
      </c>
      <c r="H11">
        <v>173.1</v>
      </c>
      <c r="I11">
        <f>H11/H8</f>
        <v>3.8043956043956042</v>
      </c>
      <c r="M11" s="1" t="s">
        <v>10</v>
      </c>
      <c r="N11">
        <v>408.3</v>
      </c>
      <c r="O11">
        <f>N11/N8</f>
        <v>7.7919847328244281</v>
      </c>
      <c r="R11" s="1" t="s">
        <v>10</v>
      </c>
      <c r="S11">
        <v>106.1</v>
      </c>
      <c r="T11">
        <f>S11/S8</f>
        <v>1.7479406919275122</v>
      </c>
    </row>
    <row r="12" spans="1:22" x14ac:dyDescent="0.25">
      <c r="A12" t="s">
        <v>9</v>
      </c>
      <c r="B12">
        <v>470.1</v>
      </c>
      <c r="C12">
        <f>B12/B8</f>
        <v>1.147705078125</v>
      </c>
      <c r="G12" t="s">
        <v>9</v>
      </c>
      <c r="H12">
        <v>184.9</v>
      </c>
      <c r="I12">
        <f>H12/H8</f>
        <v>4.0637362637362635</v>
      </c>
      <c r="M12" t="s">
        <v>9</v>
      </c>
      <c r="N12">
        <v>419.6</v>
      </c>
      <c r="O12">
        <f>N12/N8</f>
        <v>8.0076335877862608</v>
      </c>
      <c r="R12" t="s">
        <v>9</v>
      </c>
      <c r="S12">
        <v>123.1</v>
      </c>
      <c r="T12">
        <f>S12/S8</f>
        <v>2.0280065897858317</v>
      </c>
    </row>
    <row r="14" spans="1:22" x14ac:dyDescent="0.25">
      <c r="B14">
        <f>B12/B8</f>
        <v>1.147705078125</v>
      </c>
      <c r="H14">
        <f>H12/H8</f>
        <v>4.0637362637362635</v>
      </c>
      <c r="N14">
        <f>N12/N8</f>
        <v>8.0076335877862608</v>
      </c>
      <c r="S14">
        <f>S12/S8</f>
        <v>2.0280065897858317</v>
      </c>
      <c r="V14">
        <f>(B14+H14+N14+S14)/4</f>
        <v>3.8117703798583391</v>
      </c>
    </row>
    <row r="15" spans="1:22" x14ac:dyDescent="0.25">
      <c r="B15">
        <f>B12/B9</f>
        <v>1.1292337256785971</v>
      </c>
      <c r="H15">
        <f>H12/H9</f>
        <v>1.0800233644859814</v>
      </c>
      <c r="N15">
        <f>N12/N9</f>
        <v>1.1697797602453304</v>
      </c>
      <c r="S15">
        <f>S12/S9</f>
        <v>1.4133180252583237</v>
      </c>
      <c r="V15">
        <f>(B15+H15+N15+S15)/4</f>
        <v>1.1980887189170581</v>
      </c>
    </row>
    <row r="16" spans="1:22" x14ac:dyDescent="0.25">
      <c r="B16">
        <f>B12/B10</f>
        <v>1.1278790786948176</v>
      </c>
      <c r="H16">
        <f>H12/H10</f>
        <v>1.1065230400957511</v>
      </c>
      <c r="N16">
        <f>N12/N10</f>
        <v>1.3010852713178296</v>
      </c>
      <c r="S16">
        <f>S12/S10</f>
        <v>1.4637336504161713</v>
      </c>
      <c r="V16">
        <f>(B16+H16+N16+S16)/4</f>
        <v>1.2498052601311425</v>
      </c>
    </row>
    <row r="17" spans="2:22" x14ac:dyDescent="0.25">
      <c r="B17">
        <f>B12/B11</f>
        <v>1.1488269794721409</v>
      </c>
      <c r="H17">
        <f>H12/H11</f>
        <v>1.0681686886192954</v>
      </c>
      <c r="N17">
        <f>N12/N11</f>
        <v>1.0276757286309086</v>
      </c>
      <c r="S17">
        <f>S12/S11</f>
        <v>1.1602262016965128</v>
      </c>
      <c r="V17">
        <f>(B17+H17+N17+S17)/4</f>
        <v>1.1012243996047144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小轩 付</cp:lastModifiedBy>
  <dcterms:created xsi:type="dcterms:W3CDTF">2023-05-12T11:15:00Z</dcterms:created>
  <dcterms:modified xsi:type="dcterms:W3CDTF">2025-11-22T12:12:41Z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A74B91D4AE8E448388C357BA1191C11B_12</vt:lpwstr>
  </property>
</Properties>
</file>