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27207\Desktop\SegFTL2.0修改版\SegFTL2.0大修版\实验结果2.0\不同队列深度\"/>
    </mc:Choice>
  </mc:AlternateContent>
  <xr:revisionPtr revIDLastSave="0" documentId="13_ncr:1_{9C602190-3247-488C-9880-98DF1C78934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7" i="1" l="1"/>
  <c r="D37" i="1"/>
  <c r="E37" i="1"/>
  <c r="F37" i="1"/>
  <c r="G37" i="1"/>
  <c r="C38" i="1"/>
  <c r="D38" i="1"/>
  <c r="E38" i="1"/>
  <c r="F38" i="1"/>
  <c r="G38" i="1"/>
  <c r="C39" i="1"/>
  <c r="D39" i="1"/>
  <c r="E39" i="1"/>
  <c r="F39" i="1"/>
  <c r="G39" i="1"/>
  <c r="F36" i="1"/>
  <c r="C32" i="1"/>
  <c r="D32" i="1"/>
  <c r="E32" i="1"/>
  <c r="F32" i="1"/>
  <c r="G32" i="1"/>
  <c r="C33" i="1"/>
  <c r="D33" i="1"/>
  <c r="E33" i="1"/>
  <c r="F33" i="1"/>
  <c r="G33" i="1"/>
  <c r="C34" i="1"/>
  <c r="D34" i="1"/>
  <c r="E34" i="1"/>
  <c r="F34" i="1"/>
  <c r="G34" i="1"/>
  <c r="F31" i="1"/>
  <c r="C44" i="1"/>
  <c r="D44" i="1"/>
  <c r="E44" i="1"/>
  <c r="F44" i="1"/>
  <c r="G44" i="1"/>
  <c r="C29" i="1"/>
  <c r="D29" i="1"/>
  <c r="E29" i="1"/>
  <c r="F29" i="1"/>
  <c r="G29" i="1"/>
  <c r="F26" i="1"/>
  <c r="C26" i="1"/>
  <c r="D26" i="1"/>
  <c r="E26" i="1"/>
  <c r="G26" i="1"/>
  <c r="C27" i="1"/>
  <c r="D27" i="1"/>
  <c r="E27" i="1"/>
  <c r="F27" i="1"/>
  <c r="G27" i="1"/>
  <c r="C28" i="1"/>
  <c r="D28" i="1"/>
  <c r="E28" i="1"/>
  <c r="F28" i="1"/>
  <c r="G28" i="1"/>
  <c r="C31" i="1"/>
  <c r="D31" i="1"/>
  <c r="E31" i="1"/>
  <c r="G31" i="1"/>
  <c r="C36" i="1"/>
  <c r="D36" i="1"/>
  <c r="E36" i="1"/>
  <c r="G36" i="1"/>
  <c r="C41" i="1"/>
  <c r="D41" i="1"/>
  <c r="E41" i="1"/>
  <c r="F41" i="1"/>
  <c r="G41" i="1"/>
  <c r="C42" i="1"/>
  <c r="D42" i="1"/>
  <c r="E42" i="1"/>
  <c r="F42" i="1"/>
  <c r="G42" i="1"/>
  <c r="C43" i="1"/>
  <c r="D43" i="1"/>
  <c r="E43" i="1"/>
  <c r="F43" i="1"/>
  <c r="G43" i="1"/>
</calcChain>
</file>

<file path=xl/sharedStrings.xml><?xml version="1.0" encoding="utf-8"?>
<sst xmlns="http://schemas.openxmlformats.org/spreadsheetml/2006/main" count="56" uniqueCount="10">
  <si>
    <t>Normalized Throughput</t>
  </si>
  <si>
    <t>DFTL</t>
  </si>
  <si>
    <t>TPFTL</t>
  </si>
  <si>
    <t>LearnedFTL</t>
  </si>
  <si>
    <t>Seg-FTL</t>
    <phoneticPr fontId="1" type="noConversion"/>
  </si>
  <si>
    <t>顺序写</t>
    <phoneticPr fontId="1" type="noConversion"/>
  </si>
  <si>
    <t>随机写</t>
    <phoneticPr fontId="1" type="noConversion"/>
  </si>
  <si>
    <t>顺序读</t>
    <phoneticPr fontId="1" type="noConversion"/>
  </si>
  <si>
    <t>随机读</t>
    <phoneticPr fontId="1" type="noConversion"/>
  </si>
  <si>
    <t>S-FTL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</si>
</sst>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Y44"/>
  <sheetViews>
    <sheetView tabSelected="1" topLeftCell="A23" workbookViewId="0">
      <selection activeCell="Q36" sqref="Q36"/>
    </sheetView>
  </sheetViews>
  <sheetFormatPr defaultColWidth="9" defaultRowHeight="14.4" x14ac:dyDescent="0.25"/>
  <sheetData>
    <row r="2" spans="1:25" x14ac:dyDescent="0.25">
      <c r="A2" s="1" t="s">
        <v>5</v>
      </c>
      <c r="B2" t="s">
        <v>0</v>
      </c>
      <c r="C2" t="s">
        <v>1</v>
      </c>
      <c r="D2" t="s">
        <v>2</v>
      </c>
      <c r="E2" t="s">
        <v>3</v>
      </c>
      <c r="F2" s="1" t="s">
        <v>9</v>
      </c>
      <c r="G2" s="1" t="s">
        <v>4</v>
      </c>
      <c r="I2" s="1"/>
      <c r="J2" s="1"/>
      <c r="O2" s="1"/>
      <c r="P2" s="1"/>
      <c r="R2" s="1"/>
      <c r="S2" s="1"/>
      <c r="X2" s="1"/>
      <c r="Y2" s="1"/>
    </row>
    <row r="3" spans="1:25" x14ac:dyDescent="0.25">
      <c r="B3" s="1">
        <v>1</v>
      </c>
      <c r="C3">
        <v>176</v>
      </c>
      <c r="D3">
        <v>189</v>
      </c>
      <c r="E3">
        <v>354</v>
      </c>
      <c r="F3">
        <v>196</v>
      </c>
      <c r="G3">
        <v>360</v>
      </c>
      <c r="K3" s="1"/>
      <c r="T3" s="1"/>
    </row>
    <row r="4" spans="1:25" x14ac:dyDescent="0.25">
      <c r="B4" s="1">
        <v>8</v>
      </c>
      <c r="C4">
        <v>201</v>
      </c>
      <c r="D4">
        <v>226</v>
      </c>
      <c r="E4">
        <v>578</v>
      </c>
      <c r="F4">
        <v>222</v>
      </c>
      <c r="G4">
        <v>589</v>
      </c>
      <c r="K4" s="1"/>
      <c r="T4" s="1"/>
    </row>
    <row r="5" spans="1:25" x14ac:dyDescent="0.25">
      <c r="B5" s="1">
        <v>32</v>
      </c>
      <c r="C5">
        <v>212</v>
      </c>
      <c r="D5">
        <v>226</v>
      </c>
      <c r="E5">
        <v>579</v>
      </c>
      <c r="F5">
        <v>221</v>
      </c>
      <c r="G5">
        <v>586</v>
      </c>
      <c r="K5" s="1"/>
      <c r="T5" s="1"/>
    </row>
    <row r="6" spans="1:25" x14ac:dyDescent="0.25">
      <c r="B6" s="1">
        <v>64</v>
      </c>
      <c r="C6">
        <v>216</v>
      </c>
      <c r="D6">
        <v>224</v>
      </c>
      <c r="E6">
        <v>579</v>
      </c>
      <c r="F6">
        <v>225</v>
      </c>
      <c r="G6">
        <v>588</v>
      </c>
    </row>
    <row r="7" spans="1:25" x14ac:dyDescent="0.25">
      <c r="A7" s="1" t="s">
        <v>6</v>
      </c>
      <c r="B7" t="s">
        <v>0</v>
      </c>
      <c r="C7" t="s">
        <v>1</v>
      </c>
      <c r="D7" t="s">
        <v>2</v>
      </c>
      <c r="E7" t="s">
        <v>3</v>
      </c>
      <c r="F7" s="1" t="s">
        <v>9</v>
      </c>
      <c r="G7" s="1" t="s">
        <v>4</v>
      </c>
      <c r="J7" s="1"/>
      <c r="O7" s="1"/>
      <c r="P7" s="1"/>
      <c r="S7" s="1"/>
      <c r="X7" s="1"/>
      <c r="Y7" s="1"/>
    </row>
    <row r="8" spans="1:25" x14ac:dyDescent="0.25">
      <c r="B8" s="1">
        <v>1</v>
      </c>
      <c r="C8">
        <v>44.8</v>
      </c>
      <c r="D8">
        <v>46.5</v>
      </c>
      <c r="E8">
        <v>214</v>
      </c>
      <c r="F8">
        <v>103</v>
      </c>
      <c r="G8">
        <v>239</v>
      </c>
      <c r="K8" s="1"/>
      <c r="T8" s="1"/>
    </row>
    <row r="9" spans="1:25" x14ac:dyDescent="0.25">
      <c r="B9" s="1">
        <v>8</v>
      </c>
      <c r="C9">
        <v>44.7</v>
      </c>
      <c r="D9">
        <v>46.3</v>
      </c>
      <c r="E9">
        <v>291</v>
      </c>
      <c r="F9">
        <v>65.3</v>
      </c>
      <c r="G9">
        <v>459</v>
      </c>
      <c r="K9" s="1"/>
      <c r="T9" s="1"/>
    </row>
    <row r="10" spans="1:25" x14ac:dyDescent="0.25">
      <c r="B10" s="1">
        <v>32</v>
      </c>
      <c r="C10">
        <v>49</v>
      </c>
      <c r="D10">
        <v>45.1</v>
      </c>
      <c r="E10">
        <v>294</v>
      </c>
      <c r="F10">
        <v>67.099999999999994</v>
      </c>
      <c r="G10">
        <v>471</v>
      </c>
      <c r="K10" s="1"/>
      <c r="T10" s="1"/>
    </row>
    <row r="11" spans="1:25" x14ac:dyDescent="0.25">
      <c r="B11" s="1">
        <v>64</v>
      </c>
      <c r="C11">
        <v>50.4</v>
      </c>
      <c r="D11">
        <v>50.4</v>
      </c>
      <c r="E11">
        <v>295</v>
      </c>
      <c r="F11">
        <v>66.099999999999994</v>
      </c>
      <c r="G11">
        <v>472</v>
      </c>
    </row>
    <row r="12" spans="1:25" x14ac:dyDescent="0.25">
      <c r="A12" s="1" t="s">
        <v>7</v>
      </c>
      <c r="B12" t="s">
        <v>0</v>
      </c>
      <c r="C12" t="s">
        <v>1</v>
      </c>
      <c r="D12" t="s">
        <v>2</v>
      </c>
      <c r="E12" t="s">
        <v>3</v>
      </c>
      <c r="F12" s="1" t="s">
        <v>9</v>
      </c>
      <c r="G12" s="1" t="s">
        <v>4</v>
      </c>
      <c r="J12" s="1"/>
      <c r="O12" s="1"/>
      <c r="P12" s="1"/>
      <c r="S12" s="1"/>
      <c r="X12" s="1"/>
      <c r="Y12" s="1"/>
    </row>
    <row r="13" spans="1:25" x14ac:dyDescent="0.25">
      <c r="B13" s="1">
        <v>1</v>
      </c>
      <c r="C13">
        <v>555</v>
      </c>
      <c r="D13">
        <v>820</v>
      </c>
      <c r="E13">
        <v>852</v>
      </c>
      <c r="F13">
        <v>1163</v>
      </c>
      <c r="G13">
        <v>1187</v>
      </c>
      <c r="K13" s="1"/>
      <c r="T13" s="1"/>
    </row>
    <row r="14" spans="1:25" x14ac:dyDescent="0.25">
      <c r="B14" s="1">
        <v>8</v>
      </c>
      <c r="C14">
        <v>463</v>
      </c>
      <c r="D14">
        <v>742</v>
      </c>
      <c r="E14">
        <v>777</v>
      </c>
      <c r="F14">
        <v>1865</v>
      </c>
      <c r="G14">
        <v>1899</v>
      </c>
      <c r="K14" s="1"/>
      <c r="T14" s="1"/>
    </row>
    <row r="15" spans="1:25" x14ac:dyDescent="0.25">
      <c r="B15" s="1">
        <v>32</v>
      </c>
      <c r="C15">
        <v>441</v>
      </c>
      <c r="D15">
        <v>622</v>
      </c>
      <c r="E15">
        <v>656</v>
      </c>
      <c r="F15">
        <v>1990</v>
      </c>
      <c r="G15">
        <v>2035</v>
      </c>
      <c r="K15" s="1"/>
      <c r="T15" s="1"/>
    </row>
    <row r="16" spans="1:25" x14ac:dyDescent="0.25">
      <c r="B16" s="1">
        <v>64</v>
      </c>
      <c r="C16">
        <v>435</v>
      </c>
      <c r="D16">
        <v>528</v>
      </c>
      <c r="E16">
        <v>553</v>
      </c>
      <c r="F16">
        <v>2306</v>
      </c>
      <c r="G16">
        <v>2126</v>
      </c>
    </row>
    <row r="17" spans="1:25" x14ac:dyDescent="0.25">
      <c r="A17" s="1" t="s">
        <v>8</v>
      </c>
      <c r="B17" t="s">
        <v>0</v>
      </c>
      <c r="C17" t="s">
        <v>1</v>
      </c>
      <c r="D17" t="s">
        <v>2</v>
      </c>
      <c r="E17" t="s">
        <v>3</v>
      </c>
      <c r="F17" s="1" t="s">
        <v>9</v>
      </c>
      <c r="G17" s="1" t="s">
        <v>4</v>
      </c>
      <c r="J17" s="1"/>
      <c r="O17" s="1"/>
      <c r="P17" s="1"/>
      <c r="S17" s="1"/>
      <c r="X17" s="1"/>
      <c r="Y17" s="1"/>
    </row>
    <row r="18" spans="1:25" x14ac:dyDescent="0.25">
      <c r="B18" s="1">
        <v>1</v>
      </c>
      <c r="C18">
        <v>534</v>
      </c>
      <c r="D18">
        <v>549</v>
      </c>
      <c r="E18">
        <v>564</v>
      </c>
      <c r="F18">
        <v>593</v>
      </c>
      <c r="G18">
        <v>931</v>
      </c>
      <c r="K18" s="1"/>
      <c r="T18" s="1"/>
    </row>
    <row r="19" spans="1:25" x14ac:dyDescent="0.25">
      <c r="B19" s="1">
        <v>8</v>
      </c>
      <c r="C19">
        <v>587</v>
      </c>
      <c r="D19">
        <v>606</v>
      </c>
      <c r="E19">
        <v>616</v>
      </c>
      <c r="F19">
        <v>671</v>
      </c>
      <c r="G19">
        <v>1442</v>
      </c>
      <c r="K19" s="1"/>
      <c r="T19" s="1"/>
    </row>
    <row r="20" spans="1:25" x14ac:dyDescent="0.25">
      <c r="B20" s="1">
        <v>32</v>
      </c>
      <c r="C20">
        <v>588</v>
      </c>
      <c r="D20">
        <v>606</v>
      </c>
      <c r="E20">
        <v>620</v>
      </c>
      <c r="F20">
        <v>672</v>
      </c>
      <c r="G20">
        <v>1451</v>
      </c>
      <c r="K20" s="1"/>
      <c r="T20" s="1"/>
    </row>
    <row r="21" spans="1:25" x14ac:dyDescent="0.25">
      <c r="B21" s="1">
        <v>64</v>
      </c>
      <c r="C21">
        <v>588</v>
      </c>
      <c r="D21">
        <v>607</v>
      </c>
      <c r="E21">
        <v>615</v>
      </c>
      <c r="F21">
        <v>672</v>
      </c>
      <c r="G21">
        <v>1455</v>
      </c>
    </row>
    <row r="25" spans="1:25" x14ac:dyDescent="0.25">
      <c r="A25" s="1" t="s">
        <v>5</v>
      </c>
      <c r="B25" t="s">
        <v>0</v>
      </c>
      <c r="C25" t="s">
        <v>1</v>
      </c>
      <c r="D25" t="s">
        <v>2</v>
      </c>
      <c r="E25" t="s">
        <v>3</v>
      </c>
      <c r="F25" s="1" t="s">
        <v>9</v>
      </c>
      <c r="G25" s="1" t="s">
        <v>4</v>
      </c>
      <c r="I25" s="1"/>
      <c r="J25" s="1"/>
      <c r="O25" s="1"/>
      <c r="P25" s="1"/>
      <c r="R25" s="1"/>
      <c r="S25" s="1"/>
      <c r="X25" s="1"/>
      <c r="Y25" s="1"/>
    </row>
    <row r="26" spans="1:25" x14ac:dyDescent="0.25">
      <c r="B26" s="1">
        <v>1</v>
      </c>
      <c r="C26">
        <f>C3/C3</f>
        <v>1</v>
      </c>
      <c r="D26">
        <f>D3/C3</f>
        <v>1.0738636363636365</v>
      </c>
      <c r="E26">
        <f>E3/C3</f>
        <v>2.0113636363636362</v>
      </c>
      <c r="F26">
        <f>F3/C3</f>
        <v>1.1136363636363635</v>
      </c>
      <c r="G26">
        <f>G3/C3</f>
        <v>2.0454545454545454</v>
      </c>
      <c r="K26" s="1"/>
      <c r="T26" s="1"/>
    </row>
    <row r="27" spans="1:25" x14ac:dyDescent="0.25">
      <c r="B27" s="1">
        <v>8</v>
      </c>
      <c r="C27">
        <f t="shared" ref="C27:C28" si="0">C4/C4</f>
        <v>1</v>
      </c>
      <c r="D27">
        <f t="shared" ref="D27:D28" si="1">D4/C4</f>
        <v>1.1243781094527363</v>
      </c>
      <c r="E27">
        <f t="shared" ref="E27:E28" si="2">E4/C4</f>
        <v>2.8756218905472637</v>
      </c>
      <c r="F27">
        <f t="shared" ref="F27:F28" si="3">F4/C4</f>
        <v>1.1044776119402986</v>
      </c>
      <c r="G27">
        <f t="shared" ref="G27:G28" si="4">G4/C4</f>
        <v>2.9303482587064678</v>
      </c>
      <c r="K27" s="1"/>
      <c r="T27" s="1"/>
    </row>
    <row r="28" spans="1:25" x14ac:dyDescent="0.25">
      <c r="B28" s="1">
        <v>32</v>
      </c>
      <c r="C28">
        <f t="shared" si="0"/>
        <v>1</v>
      </c>
      <c r="D28">
        <f t="shared" si="1"/>
        <v>1.0660377358490567</v>
      </c>
      <c r="E28">
        <f t="shared" si="2"/>
        <v>2.7311320754716979</v>
      </c>
      <c r="F28">
        <f t="shared" si="3"/>
        <v>1.0424528301886793</v>
      </c>
      <c r="G28">
        <f t="shared" si="4"/>
        <v>2.7641509433962264</v>
      </c>
      <c r="K28" s="1"/>
      <c r="T28" s="1"/>
    </row>
    <row r="29" spans="1:25" x14ac:dyDescent="0.25">
      <c r="B29" s="1">
        <v>64</v>
      </c>
      <c r="C29">
        <f>C6/C6</f>
        <v>1</v>
      </c>
      <c r="D29">
        <f>D6/C6</f>
        <v>1.037037037037037</v>
      </c>
      <c r="E29">
        <f>E6/C6</f>
        <v>2.6805555555555554</v>
      </c>
      <c r="F29">
        <f>F6/C6</f>
        <v>1.0416666666666667</v>
      </c>
      <c r="G29">
        <f>G6/C6</f>
        <v>2.7222222222222223</v>
      </c>
    </row>
    <row r="30" spans="1:25" x14ac:dyDescent="0.25">
      <c r="A30" s="1" t="s">
        <v>6</v>
      </c>
      <c r="B30" t="s">
        <v>0</v>
      </c>
      <c r="C30" t="s">
        <v>1</v>
      </c>
      <c r="D30" t="s">
        <v>2</v>
      </c>
      <c r="E30" t="s">
        <v>3</v>
      </c>
      <c r="F30" s="1" t="s">
        <v>9</v>
      </c>
      <c r="G30" s="1" t="s">
        <v>4</v>
      </c>
      <c r="J30" s="1"/>
      <c r="O30" s="1"/>
      <c r="P30" s="1"/>
      <c r="S30" s="1"/>
      <c r="X30" s="1"/>
      <c r="Y30" s="1"/>
    </row>
    <row r="31" spans="1:25" x14ac:dyDescent="0.25">
      <c r="B31" s="1">
        <v>1</v>
      </c>
      <c r="C31">
        <f>C8/C8</f>
        <v>1</v>
      </c>
      <c r="D31">
        <f>D8/C8</f>
        <v>1.0379464285714286</v>
      </c>
      <c r="E31">
        <f>E8/C8</f>
        <v>4.7767857142857144</v>
      </c>
      <c r="F31">
        <f>F8/C8</f>
        <v>2.2991071428571428</v>
      </c>
      <c r="G31">
        <f>G8/C8</f>
        <v>5.3348214285714288</v>
      </c>
      <c r="K31" s="1"/>
      <c r="T31" s="1"/>
    </row>
    <row r="32" spans="1:25" x14ac:dyDescent="0.25">
      <c r="B32" s="1">
        <v>8</v>
      </c>
      <c r="C32">
        <f t="shared" ref="C32:C34" si="5">C9/C9</f>
        <v>1</v>
      </c>
      <c r="D32">
        <f t="shared" ref="D32:D34" si="6">D9/C9</f>
        <v>1.03579418344519</v>
      </c>
      <c r="E32">
        <f t="shared" ref="E32:E34" si="7">E9/C9</f>
        <v>6.5100671140939594</v>
      </c>
      <c r="F32">
        <f t="shared" ref="F32:F34" si="8">F9/C9</f>
        <v>1.4608501118568231</v>
      </c>
      <c r="G32">
        <f t="shared" ref="G32:G34" si="9">G9/C9</f>
        <v>10.268456375838925</v>
      </c>
      <c r="K32" s="1"/>
      <c r="T32" s="1"/>
    </row>
    <row r="33" spans="1:25" x14ac:dyDescent="0.25">
      <c r="B33" s="1">
        <v>32</v>
      </c>
      <c r="C33">
        <f t="shared" si="5"/>
        <v>1</v>
      </c>
      <c r="D33">
        <f t="shared" si="6"/>
        <v>0.92040816326530617</v>
      </c>
      <c r="E33">
        <f t="shared" si="7"/>
        <v>6</v>
      </c>
      <c r="F33">
        <f t="shared" si="8"/>
        <v>1.3693877551020408</v>
      </c>
      <c r="G33">
        <f t="shared" si="9"/>
        <v>9.612244897959183</v>
      </c>
      <c r="K33" s="1"/>
      <c r="T33" s="1"/>
    </row>
    <row r="34" spans="1:25" x14ac:dyDescent="0.25">
      <c r="B34" s="1">
        <v>64</v>
      </c>
      <c r="C34">
        <f t="shared" si="5"/>
        <v>1</v>
      </c>
      <c r="D34">
        <f t="shared" si="6"/>
        <v>1</v>
      </c>
      <c r="E34">
        <f t="shared" si="7"/>
        <v>5.8531746031746037</v>
      </c>
      <c r="F34">
        <f t="shared" si="8"/>
        <v>1.3115079365079365</v>
      </c>
      <c r="G34">
        <f t="shared" si="9"/>
        <v>9.3650793650793656</v>
      </c>
    </row>
    <row r="35" spans="1:25" x14ac:dyDescent="0.25">
      <c r="A35" s="1" t="s">
        <v>7</v>
      </c>
      <c r="B35" t="s">
        <v>0</v>
      </c>
      <c r="C35" t="s">
        <v>1</v>
      </c>
      <c r="D35" t="s">
        <v>2</v>
      </c>
      <c r="E35" t="s">
        <v>3</v>
      </c>
      <c r="F35" s="1" t="s">
        <v>9</v>
      </c>
      <c r="G35" s="1" t="s">
        <v>4</v>
      </c>
      <c r="J35" s="1"/>
      <c r="O35" s="1"/>
      <c r="P35" s="1"/>
      <c r="S35" s="1"/>
      <c r="X35" s="1"/>
      <c r="Y35" s="1"/>
    </row>
    <row r="36" spans="1:25" x14ac:dyDescent="0.25">
      <c r="B36" s="1">
        <v>1</v>
      </c>
      <c r="C36">
        <f>C13/C13</f>
        <v>1</v>
      </c>
      <c r="D36">
        <f>D13/C13</f>
        <v>1.4774774774774775</v>
      </c>
      <c r="E36">
        <f>E13/C13</f>
        <v>1.5351351351351352</v>
      </c>
      <c r="F36">
        <f>F13/C13</f>
        <v>2.0954954954954954</v>
      </c>
      <c r="G36">
        <f>G13/C13</f>
        <v>2.1387387387387387</v>
      </c>
      <c r="K36" s="1"/>
      <c r="T36" s="1"/>
    </row>
    <row r="37" spans="1:25" x14ac:dyDescent="0.25">
      <c r="B37" s="1">
        <v>8</v>
      </c>
      <c r="C37">
        <f t="shared" ref="C37:C39" si="10">C14/C14</f>
        <v>1</v>
      </c>
      <c r="D37">
        <f t="shared" ref="D37:D39" si="11">D14/C14</f>
        <v>1.6025917926565876</v>
      </c>
      <c r="E37">
        <f t="shared" ref="E37:E39" si="12">E14/C14</f>
        <v>1.6781857451403888</v>
      </c>
      <c r="F37">
        <f t="shared" ref="F37:F39" si="13">F14/C14</f>
        <v>4.0280777537796979</v>
      </c>
      <c r="G37">
        <f t="shared" ref="G37:G39" si="14">G14/C14</f>
        <v>4.1015118790496761</v>
      </c>
      <c r="K37" s="1"/>
      <c r="T37" s="1"/>
    </row>
    <row r="38" spans="1:25" x14ac:dyDescent="0.25">
      <c r="B38" s="1">
        <v>32</v>
      </c>
      <c r="C38">
        <f t="shared" si="10"/>
        <v>1</v>
      </c>
      <c r="D38">
        <f t="shared" si="11"/>
        <v>1.4104308390022675</v>
      </c>
      <c r="E38">
        <f t="shared" si="12"/>
        <v>1.4875283446712018</v>
      </c>
      <c r="F38">
        <f t="shared" si="13"/>
        <v>4.512471655328798</v>
      </c>
      <c r="G38">
        <f t="shared" si="14"/>
        <v>4.6145124716553285</v>
      </c>
      <c r="K38" s="1"/>
      <c r="T38" s="1"/>
    </row>
    <row r="39" spans="1:25" x14ac:dyDescent="0.25">
      <c r="B39" s="1">
        <v>64</v>
      </c>
      <c r="C39">
        <f t="shared" si="10"/>
        <v>1</v>
      </c>
      <c r="D39">
        <f t="shared" si="11"/>
        <v>1.2137931034482758</v>
      </c>
      <c r="E39">
        <f t="shared" si="12"/>
        <v>1.271264367816092</v>
      </c>
      <c r="F39">
        <f t="shared" si="13"/>
        <v>5.3011494252873561</v>
      </c>
      <c r="G39">
        <f t="shared" si="14"/>
        <v>4.8873563218390803</v>
      </c>
    </row>
    <row r="40" spans="1:25" x14ac:dyDescent="0.25">
      <c r="A40" s="1" t="s">
        <v>8</v>
      </c>
      <c r="B40" t="s">
        <v>0</v>
      </c>
      <c r="C40" t="s">
        <v>1</v>
      </c>
      <c r="D40" t="s">
        <v>2</v>
      </c>
      <c r="E40" t="s">
        <v>3</v>
      </c>
      <c r="F40" s="1" t="s">
        <v>9</v>
      </c>
      <c r="G40" s="1" t="s">
        <v>4</v>
      </c>
      <c r="J40" s="1"/>
      <c r="O40" s="1"/>
      <c r="P40" s="1"/>
      <c r="S40" s="1"/>
      <c r="X40" s="1"/>
      <c r="Y40" s="1"/>
    </row>
    <row r="41" spans="1:25" x14ac:dyDescent="0.25">
      <c r="B41" s="1">
        <v>1</v>
      </c>
      <c r="C41">
        <f>C18/C18</f>
        <v>1</v>
      </c>
      <c r="D41">
        <f>D18/C18</f>
        <v>1.0280898876404494</v>
      </c>
      <c r="E41">
        <f>E18/C18</f>
        <v>1.0561797752808988</v>
      </c>
      <c r="F41">
        <f>F18/C18</f>
        <v>1.1104868913857677</v>
      </c>
      <c r="G41">
        <f>G18/C18</f>
        <v>1.7434456928838951</v>
      </c>
      <c r="K41" s="1"/>
      <c r="T41" s="1"/>
    </row>
    <row r="42" spans="1:25" x14ac:dyDescent="0.25">
      <c r="B42" s="1">
        <v>8</v>
      </c>
      <c r="C42">
        <f t="shared" ref="C42:C43" si="15">C19/C19</f>
        <v>1</v>
      </c>
      <c r="D42">
        <f t="shared" ref="D42:D43" si="16">D19/C19</f>
        <v>1.0323679727427597</v>
      </c>
      <c r="E42">
        <f t="shared" ref="E42:E43" si="17">E19/C19</f>
        <v>1.049403747870528</v>
      </c>
      <c r="F42">
        <f t="shared" ref="F42:F43" si="18">F19/C19</f>
        <v>1.1431005110732537</v>
      </c>
      <c r="G42">
        <f t="shared" ref="G42:G43" si="19">G19/C19</f>
        <v>2.4565587734241907</v>
      </c>
      <c r="K42" s="1"/>
      <c r="T42" s="1"/>
    </row>
    <row r="43" spans="1:25" x14ac:dyDescent="0.25">
      <c r="B43" s="1">
        <v>32</v>
      </c>
      <c r="C43">
        <f t="shared" si="15"/>
        <v>1</v>
      </c>
      <c r="D43">
        <f t="shared" si="16"/>
        <v>1.0306122448979591</v>
      </c>
      <c r="E43">
        <f t="shared" si="17"/>
        <v>1.0544217687074831</v>
      </c>
      <c r="F43">
        <f t="shared" si="18"/>
        <v>1.1428571428571428</v>
      </c>
      <c r="G43">
        <f t="shared" si="19"/>
        <v>2.4676870748299318</v>
      </c>
      <c r="K43" s="1"/>
      <c r="T43" s="1"/>
    </row>
    <row r="44" spans="1:25" x14ac:dyDescent="0.25">
      <c r="B44" s="1">
        <v>64</v>
      </c>
      <c r="C44">
        <f>C21/C21</f>
        <v>1</v>
      </c>
      <c r="D44">
        <f>D21/C21</f>
        <v>1.032312925170068</v>
      </c>
      <c r="E44">
        <f>E21/C21</f>
        <v>1.0459183673469388</v>
      </c>
      <c r="F44">
        <f>F21/C21</f>
        <v>1.1428571428571428</v>
      </c>
      <c r="G44">
        <f>G21/C21</f>
        <v>2.4744897959183674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小轩 付</cp:lastModifiedBy>
  <dcterms:created xsi:type="dcterms:W3CDTF">2023-05-12T11:15:00Z</dcterms:created>
  <dcterms:modified xsi:type="dcterms:W3CDTF">2025-11-24T06:17:08Z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343C5F9801D94E0F85EA58ACAEA2CE03_12</vt:lpwstr>
  </property>
</Properties>
</file>