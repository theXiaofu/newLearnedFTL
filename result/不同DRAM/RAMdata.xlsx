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SegFTL2.0修改版\SegFTL2.0大修版\实验结果2.0\不同DRAM\"/>
    </mc:Choice>
  </mc:AlternateContent>
  <xr:revisionPtr revIDLastSave="0" documentId="13_ncr:1_{8CECB9E6-AF2E-42DB-A6A5-93283BD51637}" xr6:coauthVersionLast="47" xr6:coauthVersionMax="47" xr10:uidLastSave="{00000000-0000-0000-0000-000000000000}"/>
  <bookViews>
    <workbookView xWindow="5685" yWindow="198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31" i="1"/>
  <c r="N31" i="1"/>
  <c r="O31" i="1"/>
  <c r="P31" i="1"/>
  <c r="L32" i="1"/>
  <c r="M32" i="1"/>
  <c r="N32" i="1"/>
  <c r="O32" i="1"/>
  <c r="P32" i="1"/>
  <c r="W33" i="1"/>
  <c r="W32" i="1"/>
  <c r="W31" i="1"/>
  <c r="U37" i="1"/>
  <c r="V37" i="1"/>
  <c r="W37" i="1"/>
  <c r="X37" i="1"/>
  <c r="Y37" i="1"/>
  <c r="U38" i="1"/>
  <c r="V38" i="1"/>
  <c r="W38" i="1"/>
  <c r="X38" i="1"/>
  <c r="Y38" i="1"/>
  <c r="U32" i="1"/>
  <c r="V32" i="1"/>
  <c r="X32" i="1"/>
  <c r="Y32" i="1"/>
  <c r="U33" i="1"/>
  <c r="V33" i="1"/>
  <c r="X33" i="1"/>
  <c r="Y33" i="1"/>
  <c r="U27" i="1"/>
  <c r="V27" i="1"/>
  <c r="W27" i="1"/>
  <c r="X27" i="1"/>
  <c r="Y27" i="1"/>
  <c r="U28" i="1"/>
  <c r="V28" i="1"/>
  <c r="W28" i="1"/>
  <c r="X28" i="1"/>
  <c r="Y28" i="1"/>
  <c r="L42" i="1"/>
  <c r="M42" i="1"/>
  <c r="N42" i="1"/>
  <c r="O42" i="1"/>
  <c r="P42" i="1"/>
  <c r="L43" i="1"/>
  <c r="M43" i="1"/>
  <c r="N43" i="1"/>
  <c r="O43" i="1"/>
  <c r="P43" i="1"/>
  <c r="L37" i="1"/>
  <c r="M37" i="1"/>
  <c r="N37" i="1"/>
  <c r="O37" i="1"/>
  <c r="P37" i="1"/>
  <c r="L38" i="1"/>
  <c r="M38" i="1"/>
  <c r="N38" i="1"/>
  <c r="O38" i="1"/>
  <c r="P38" i="1"/>
  <c r="L33" i="1"/>
  <c r="M33" i="1"/>
  <c r="N33" i="1"/>
  <c r="O33" i="1"/>
  <c r="P33" i="1"/>
  <c r="L27" i="1"/>
  <c r="M27" i="1"/>
  <c r="N27" i="1"/>
  <c r="O27" i="1"/>
  <c r="P27" i="1"/>
  <c r="L28" i="1"/>
  <c r="M28" i="1"/>
  <c r="N28" i="1"/>
  <c r="O28" i="1"/>
  <c r="P28" i="1"/>
  <c r="C42" i="1"/>
  <c r="D42" i="1"/>
  <c r="E42" i="1"/>
  <c r="F42" i="1"/>
  <c r="G42" i="1"/>
  <c r="C43" i="1"/>
  <c r="D43" i="1"/>
  <c r="E43" i="1"/>
  <c r="F43" i="1"/>
  <c r="G43" i="1"/>
  <c r="C37" i="1"/>
  <c r="D37" i="1"/>
  <c r="E37" i="1"/>
  <c r="F37" i="1"/>
  <c r="G37" i="1"/>
  <c r="C38" i="1"/>
  <c r="D38" i="1"/>
  <c r="E38" i="1"/>
  <c r="F38" i="1"/>
  <c r="G38" i="1"/>
  <c r="C32" i="1"/>
  <c r="D32" i="1"/>
  <c r="E32" i="1"/>
  <c r="F32" i="1"/>
  <c r="G32" i="1"/>
  <c r="C33" i="1"/>
  <c r="D33" i="1"/>
  <c r="E33" i="1"/>
  <c r="F33" i="1"/>
  <c r="G33" i="1"/>
  <c r="E27" i="1"/>
  <c r="F27" i="1"/>
  <c r="G27" i="1"/>
  <c r="E28" i="1"/>
  <c r="F28" i="1"/>
  <c r="G28" i="1"/>
  <c r="D27" i="1"/>
  <c r="D28" i="1"/>
  <c r="C27" i="1"/>
  <c r="C28" i="1"/>
  <c r="Y36" i="1"/>
  <c r="X36" i="1"/>
  <c r="W36" i="1"/>
  <c r="V36" i="1"/>
  <c r="U36" i="1"/>
  <c r="Y31" i="1"/>
  <c r="X31" i="1"/>
  <c r="V31" i="1"/>
  <c r="U31" i="1"/>
  <c r="Y26" i="1"/>
  <c r="X26" i="1"/>
  <c r="W26" i="1"/>
  <c r="V26" i="1"/>
  <c r="U26" i="1"/>
  <c r="P41" i="1"/>
  <c r="O41" i="1"/>
  <c r="N41" i="1"/>
  <c r="M41" i="1"/>
  <c r="P36" i="1"/>
  <c r="O36" i="1"/>
  <c r="N36" i="1"/>
  <c r="M36" i="1"/>
  <c r="P26" i="1"/>
  <c r="O26" i="1"/>
  <c r="N26" i="1"/>
  <c r="M26" i="1"/>
  <c r="L41" i="1"/>
  <c r="L36" i="1"/>
  <c r="L26" i="1"/>
  <c r="G41" i="1"/>
  <c r="F41" i="1"/>
  <c r="E41" i="1"/>
  <c r="D41" i="1"/>
  <c r="C41" i="1"/>
  <c r="G36" i="1"/>
  <c r="F36" i="1"/>
  <c r="E36" i="1"/>
  <c r="D36" i="1"/>
  <c r="C36" i="1"/>
  <c r="G31" i="1"/>
  <c r="F31" i="1"/>
  <c r="E31" i="1"/>
  <c r="D31" i="1"/>
  <c r="C31" i="1"/>
  <c r="D26" i="1"/>
  <c r="E26" i="1"/>
  <c r="F26" i="1"/>
  <c r="G26" i="1"/>
  <c r="C26" i="1"/>
</calcChain>
</file>

<file path=xl/sharedStrings.xml><?xml version="1.0" encoding="utf-8"?>
<sst xmlns="http://schemas.openxmlformats.org/spreadsheetml/2006/main" count="224" uniqueCount="22">
  <si>
    <t>Normalized Throughput</t>
  </si>
  <si>
    <t>DFTL</t>
  </si>
  <si>
    <t>TPFTL</t>
  </si>
  <si>
    <t>LearnedFTL</t>
  </si>
  <si>
    <t>Seg-FTL</t>
    <phoneticPr fontId="1" type="noConversion"/>
  </si>
  <si>
    <t>3MB</t>
    <phoneticPr fontId="1" type="noConversion"/>
  </si>
  <si>
    <t>4MB</t>
    <phoneticPr fontId="1" type="noConversion"/>
  </si>
  <si>
    <t>8MB</t>
    <phoneticPr fontId="1" type="noConversion"/>
  </si>
  <si>
    <t>顺序写</t>
    <phoneticPr fontId="1" type="noConversion"/>
  </si>
  <si>
    <t>随机写</t>
    <phoneticPr fontId="1" type="noConversion"/>
  </si>
  <si>
    <t>顺序读</t>
    <phoneticPr fontId="1" type="noConversion"/>
  </si>
  <si>
    <t>随机读</t>
    <phoneticPr fontId="1" type="noConversion"/>
  </si>
  <si>
    <t>RocksDB</t>
    <phoneticPr fontId="1" type="noConversion"/>
  </si>
  <si>
    <t>fileserver</t>
    <phoneticPr fontId="1" type="noConversion"/>
  </si>
  <si>
    <t>Filebench</t>
    <phoneticPr fontId="1" type="noConversion"/>
  </si>
  <si>
    <t>fillseq</t>
    <phoneticPr fontId="1" type="noConversion"/>
  </si>
  <si>
    <t>overwrite</t>
    <phoneticPr fontId="1" type="noConversion"/>
  </si>
  <si>
    <t>readseq</t>
    <phoneticPr fontId="1" type="noConversion"/>
  </si>
  <si>
    <t>readrandom</t>
    <phoneticPr fontId="1" type="noConversion"/>
  </si>
  <si>
    <t>webserver</t>
    <phoneticPr fontId="1" type="noConversion"/>
  </si>
  <si>
    <t>varmail</t>
    <phoneticPr fontId="1" type="noConversion"/>
  </si>
  <si>
    <t>S-FTL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</si>
</sst>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3"/>
  <sheetViews>
    <sheetView tabSelected="1" topLeftCell="F1" workbookViewId="0">
      <selection activeCell="M17" sqref="M17"/>
    </sheetView>
  </sheetViews>
  <sheetFormatPr defaultColWidth="9" defaultRowHeight="13.5" x14ac:dyDescent="0.15"/>
  <sheetData>
    <row r="2" spans="1:25" x14ac:dyDescent="0.15">
      <c r="A2" s="1" t="s">
        <v>8</v>
      </c>
      <c r="B2" t="s">
        <v>0</v>
      </c>
      <c r="C2" t="s">
        <v>1</v>
      </c>
      <c r="D2" t="s">
        <v>2</v>
      </c>
      <c r="E2" t="s">
        <v>3</v>
      </c>
      <c r="F2" s="1" t="s">
        <v>21</v>
      </c>
      <c r="G2" s="1" t="s">
        <v>4</v>
      </c>
      <c r="I2" s="1" t="s">
        <v>12</v>
      </c>
      <c r="J2" s="1" t="s">
        <v>15</v>
      </c>
      <c r="K2" t="s">
        <v>0</v>
      </c>
      <c r="L2" t="s">
        <v>1</v>
      </c>
      <c r="M2" t="s">
        <v>2</v>
      </c>
      <c r="N2" t="s">
        <v>3</v>
      </c>
      <c r="O2" s="1" t="s">
        <v>21</v>
      </c>
      <c r="P2" s="1" t="s">
        <v>4</v>
      </c>
      <c r="R2" s="1" t="s">
        <v>14</v>
      </c>
      <c r="S2" s="1" t="s">
        <v>13</v>
      </c>
      <c r="T2" t="s">
        <v>0</v>
      </c>
      <c r="U2" t="s">
        <v>1</v>
      </c>
      <c r="V2" t="s">
        <v>2</v>
      </c>
      <c r="W2" t="s">
        <v>3</v>
      </c>
      <c r="X2" s="1" t="s">
        <v>21</v>
      </c>
      <c r="Y2" s="1" t="s">
        <v>4</v>
      </c>
    </row>
    <row r="3" spans="1:25" x14ac:dyDescent="0.15">
      <c r="B3" s="1" t="s">
        <v>5</v>
      </c>
      <c r="C3">
        <v>189</v>
      </c>
      <c r="D3">
        <v>191</v>
      </c>
      <c r="E3">
        <v>356</v>
      </c>
      <c r="F3">
        <v>193</v>
      </c>
      <c r="G3">
        <v>363</v>
      </c>
      <c r="K3" s="1" t="s">
        <v>5</v>
      </c>
      <c r="L3">
        <v>412.3</v>
      </c>
      <c r="M3">
        <v>416.1</v>
      </c>
      <c r="N3">
        <v>410.9</v>
      </c>
      <c r="O3">
        <v>414.3</v>
      </c>
      <c r="P3">
        <v>472.8</v>
      </c>
      <c r="T3" s="1" t="s">
        <v>5</v>
      </c>
      <c r="U3">
        <v>215.9</v>
      </c>
      <c r="V3">
        <v>213.8</v>
      </c>
      <c r="W3">
        <v>231.8</v>
      </c>
      <c r="X3">
        <v>216.4</v>
      </c>
      <c r="Y3">
        <v>237.2</v>
      </c>
    </row>
    <row r="4" spans="1:25" x14ac:dyDescent="0.15">
      <c r="B4" s="1" t="s">
        <v>6</v>
      </c>
      <c r="C4">
        <v>174</v>
      </c>
      <c r="D4">
        <v>184</v>
      </c>
      <c r="E4">
        <v>355</v>
      </c>
      <c r="F4">
        <v>188</v>
      </c>
      <c r="G4">
        <v>360</v>
      </c>
      <c r="K4" s="1" t="s">
        <v>6</v>
      </c>
      <c r="L4">
        <v>409.6</v>
      </c>
      <c r="M4">
        <v>416.3</v>
      </c>
      <c r="N4">
        <v>416.8</v>
      </c>
      <c r="O4">
        <v>409.2</v>
      </c>
      <c r="P4">
        <v>470.1</v>
      </c>
      <c r="T4" s="1" t="s">
        <v>6</v>
      </c>
      <c r="U4">
        <v>215.2</v>
      </c>
      <c r="V4">
        <v>213.6</v>
      </c>
      <c r="W4">
        <v>234.4</v>
      </c>
      <c r="X4">
        <v>217.8</v>
      </c>
      <c r="Y4">
        <v>239.3</v>
      </c>
    </row>
    <row r="5" spans="1:25" x14ac:dyDescent="0.15">
      <c r="B5" s="1" t="s">
        <v>7</v>
      </c>
      <c r="C5">
        <v>106</v>
      </c>
      <c r="D5">
        <v>184</v>
      </c>
      <c r="E5">
        <v>362</v>
      </c>
      <c r="F5">
        <v>187</v>
      </c>
      <c r="G5">
        <v>360</v>
      </c>
      <c r="K5" s="1" t="s">
        <v>7</v>
      </c>
      <c r="L5">
        <v>410.7</v>
      </c>
      <c r="M5">
        <v>412</v>
      </c>
      <c r="N5">
        <v>414</v>
      </c>
      <c r="O5">
        <v>412.3</v>
      </c>
      <c r="P5">
        <v>458.2</v>
      </c>
      <c r="T5" s="1" t="s">
        <v>7</v>
      </c>
      <c r="U5">
        <v>213.4</v>
      </c>
      <c r="V5">
        <v>224.3</v>
      </c>
      <c r="W5">
        <v>233.5</v>
      </c>
      <c r="X5">
        <v>213.7</v>
      </c>
      <c r="Y5">
        <v>237.2</v>
      </c>
    </row>
    <row r="7" spans="1:25" x14ac:dyDescent="0.15">
      <c r="A7" s="1" t="s">
        <v>9</v>
      </c>
      <c r="B7" t="s">
        <v>0</v>
      </c>
      <c r="C7" t="s">
        <v>1</v>
      </c>
      <c r="D7" t="s">
        <v>2</v>
      </c>
      <c r="E7" t="s">
        <v>3</v>
      </c>
      <c r="F7" s="1" t="s">
        <v>21</v>
      </c>
      <c r="G7" s="1" t="s">
        <v>4</v>
      </c>
      <c r="J7" s="1" t="s">
        <v>16</v>
      </c>
      <c r="K7" t="s">
        <v>0</v>
      </c>
      <c r="L7" t="s">
        <v>1</v>
      </c>
      <c r="M7" t="s">
        <v>2</v>
      </c>
      <c r="N7" t="s">
        <v>3</v>
      </c>
      <c r="O7" s="1" t="s">
        <v>21</v>
      </c>
      <c r="P7" s="1" t="s">
        <v>4</v>
      </c>
      <c r="S7" s="1" t="s">
        <v>19</v>
      </c>
      <c r="T7" t="s">
        <v>0</v>
      </c>
      <c r="U7" t="s">
        <v>1</v>
      </c>
      <c r="V7" t="s">
        <v>2</v>
      </c>
      <c r="W7" t="s">
        <v>3</v>
      </c>
      <c r="X7" s="1" t="s">
        <v>21</v>
      </c>
      <c r="Y7" s="1" t="s">
        <v>4</v>
      </c>
    </row>
    <row r="8" spans="1:25" x14ac:dyDescent="0.15">
      <c r="B8" s="1" t="s">
        <v>5</v>
      </c>
      <c r="C8">
        <v>50.9</v>
      </c>
      <c r="D8">
        <v>55.2</v>
      </c>
      <c r="E8">
        <v>218</v>
      </c>
      <c r="F8">
        <v>63.3</v>
      </c>
      <c r="G8">
        <v>238</v>
      </c>
      <c r="K8" s="1" t="s">
        <v>5</v>
      </c>
      <c r="L8">
        <v>45.3</v>
      </c>
      <c r="M8">
        <v>170</v>
      </c>
      <c r="N8">
        <v>166.9</v>
      </c>
      <c r="O8">
        <v>172.1</v>
      </c>
      <c r="P8">
        <v>184</v>
      </c>
      <c r="T8" s="1" t="s">
        <v>5</v>
      </c>
      <c r="U8">
        <v>155.9</v>
      </c>
      <c r="V8">
        <v>165.6</v>
      </c>
      <c r="W8">
        <v>166.7</v>
      </c>
      <c r="X8">
        <v>170</v>
      </c>
      <c r="Y8">
        <v>291.60000000000002</v>
      </c>
    </row>
    <row r="9" spans="1:25" x14ac:dyDescent="0.15">
      <c r="B9" s="1" t="s">
        <v>6</v>
      </c>
      <c r="C9">
        <v>37.6</v>
      </c>
      <c r="D9">
        <v>46.1</v>
      </c>
      <c r="E9">
        <v>194</v>
      </c>
      <c r="F9">
        <v>59.2</v>
      </c>
      <c r="G9">
        <v>239</v>
      </c>
      <c r="K9" s="1" t="s">
        <v>6</v>
      </c>
      <c r="L9">
        <v>45.5</v>
      </c>
      <c r="M9">
        <v>171.2</v>
      </c>
      <c r="N9">
        <v>167.1</v>
      </c>
      <c r="O9">
        <v>173.1</v>
      </c>
      <c r="P9">
        <v>184.9</v>
      </c>
      <c r="T9" s="1" t="s">
        <v>6</v>
      </c>
      <c r="U9">
        <v>157.80000000000001</v>
      </c>
      <c r="V9">
        <v>160</v>
      </c>
      <c r="W9">
        <v>167.3</v>
      </c>
      <c r="X9">
        <v>175.9</v>
      </c>
      <c r="Y9">
        <v>248.3</v>
      </c>
    </row>
    <row r="10" spans="1:25" x14ac:dyDescent="0.15">
      <c r="B10" s="1" t="s">
        <v>7</v>
      </c>
      <c r="C10">
        <v>23.6</v>
      </c>
      <c r="D10">
        <v>31.3</v>
      </c>
      <c r="E10">
        <v>47.5</v>
      </c>
      <c r="F10">
        <v>60.4</v>
      </c>
      <c r="G10">
        <v>238</v>
      </c>
      <c r="K10" s="1" t="s">
        <v>7</v>
      </c>
      <c r="L10">
        <v>45</v>
      </c>
      <c r="M10">
        <v>171</v>
      </c>
      <c r="N10">
        <v>165.7</v>
      </c>
      <c r="O10">
        <v>173.2</v>
      </c>
      <c r="P10">
        <v>183.6</v>
      </c>
      <c r="T10" s="1" t="s">
        <v>7</v>
      </c>
      <c r="U10">
        <v>155.5</v>
      </c>
      <c r="V10">
        <v>190.5</v>
      </c>
      <c r="W10">
        <v>148.5</v>
      </c>
      <c r="X10">
        <v>203.7</v>
      </c>
      <c r="Y10">
        <v>290.10000000000002</v>
      </c>
    </row>
    <row r="12" spans="1:25" x14ac:dyDescent="0.15">
      <c r="A12" s="1" t="s">
        <v>10</v>
      </c>
      <c r="B12" t="s">
        <v>0</v>
      </c>
      <c r="C12" t="s">
        <v>1</v>
      </c>
      <c r="D12" t="s">
        <v>2</v>
      </c>
      <c r="E12" t="s">
        <v>3</v>
      </c>
      <c r="F12" s="1" t="s">
        <v>21</v>
      </c>
      <c r="G12" s="1" t="s">
        <v>4</v>
      </c>
      <c r="J12" s="1" t="s">
        <v>17</v>
      </c>
      <c r="K12" t="s">
        <v>0</v>
      </c>
      <c r="L12" t="s">
        <v>1</v>
      </c>
      <c r="M12" t="s">
        <v>2</v>
      </c>
      <c r="N12" t="s">
        <v>3</v>
      </c>
      <c r="O12" s="1" t="s">
        <v>21</v>
      </c>
      <c r="P12" s="1" t="s">
        <v>4</v>
      </c>
      <c r="S12" s="1" t="s">
        <v>20</v>
      </c>
      <c r="T12" t="s">
        <v>0</v>
      </c>
      <c r="U12" t="s">
        <v>1</v>
      </c>
      <c r="V12" t="s">
        <v>2</v>
      </c>
      <c r="W12" t="s">
        <v>3</v>
      </c>
      <c r="X12" s="1" t="s">
        <v>21</v>
      </c>
      <c r="Y12" s="1" t="s">
        <v>4</v>
      </c>
    </row>
    <row r="13" spans="1:25" x14ac:dyDescent="0.15">
      <c r="B13" s="1" t="s">
        <v>5</v>
      </c>
      <c r="C13">
        <v>556</v>
      </c>
      <c r="D13">
        <v>859</v>
      </c>
      <c r="E13">
        <v>892</v>
      </c>
      <c r="F13">
        <v>1229</v>
      </c>
      <c r="G13">
        <v>1270</v>
      </c>
      <c r="K13" s="1" t="s">
        <v>5</v>
      </c>
      <c r="L13">
        <v>52.9</v>
      </c>
      <c r="M13">
        <v>356.4</v>
      </c>
      <c r="N13">
        <v>327.7</v>
      </c>
      <c r="O13">
        <v>399.6</v>
      </c>
      <c r="P13">
        <v>415.7</v>
      </c>
      <c r="T13" s="1" t="s">
        <v>5</v>
      </c>
      <c r="U13">
        <v>62.3</v>
      </c>
      <c r="V13">
        <v>62.6</v>
      </c>
      <c r="W13">
        <v>63.1</v>
      </c>
      <c r="X13">
        <v>63.3</v>
      </c>
      <c r="Y13">
        <v>73.599999999999994</v>
      </c>
    </row>
    <row r="14" spans="1:25" x14ac:dyDescent="0.15">
      <c r="B14" s="1" t="s">
        <v>6</v>
      </c>
      <c r="C14">
        <v>558</v>
      </c>
      <c r="D14">
        <v>846</v>
      </c>
      <c r="E14">
        <v>902</v>
      </c>
      <c r="F14">
        <v>1223</v>
      </c>
      <c r="G14">
        <v>1276</v>
      </c>
      <c r="K14" s="1" t="s">
        <v>6</v>
      </c>
      <c r="L14">
        <v>52.4</v>
      </c>
      <c r="M14">
        <v>358.7</v>
      </c>
      <c r="N14">
        <v>322.5</v>
      </c>
      <c r="O14">
        <v>408.3</v>
      </c>
      <c r="P14">
        <v>419.6</v>
      </c>
      <c r="T14" s="1" t="s">
        <v>6</v>
      </c>
      <c r="U14">
        <v>61.8</v>
      </c>
      <c r="V14">
        <v>62.6</v>
      </c>
      <c r="W14">
        <v>61.8</v>
      </c>
      <c r="X14">
        <v>64.2</v>
      </c>
      <c r="Y14">
        <v>68.8</v>
      </c>
    </row>
    <row r="15" spans="1:25" x14ac:dyDescent="0.15">
      <c r="B15" s="1" t="s">
        <v>7</v>
      </c>
      <c r="C15">
        <v>559</v>
      </c>
      <c r="D15">
        <v>759</v>
      </c>
      <c r="E15">
        <v>829</v>
      </c>
      <c r="F15">
        <v>1225</v>
      </c>
      <c r="G15">
        <v>1278</v>
      </c>
      <c r="K15" s="1" t="s">
        <v>7</v>
      </c>
      <c r="L15">
        <v>48.7</v>
      </c>
      <c r="M15">
        <v>360.9</v>
      </c>
      <c r="N15">
        <v>324.39999999999998</v>
      </c>
      <c r="O15">
        <v>404.7</v>
      </c>
      <c r="P15">
        <v>417.1</v>
      </c>
      <c r="T15" s="1" t="s">
        <v>7</v>
      </c>
      <c r="U15">
        <v>60.7</v>
      </c>
      <c r="V15">
        <v>62.5</v>
      </c>
      <c r="W15">
        <v>62.4</v>
      </c>
      <c r="X15">
        <v>64.400000000000006</v>
      </c>
      <c r="Y15">
        <v>68.5</v>
      </c>
    </row>
    <row r="17" spans="1:25" x14ac:dyDescent="0.15">
      <c r="A17" s="1" t="s">
        <v>11</v>
      </c>
      <c r="B17" t="s">
        <v>0</v>
      </c>
      <c r="C17" t="s">
        <v>1</v>
      </c>
      <c r="D17" t="s">
        <v>2</v>
      </c>
      <c r="E17" t="s">
        <v>3</v>
      </c>
      <c r="F17" s="1" t="s">
        <v>21</v>
      </c>
      <c r="G17" s="1" t="s">
        <v>4</v>
      </c>
      <c r="J17" s="1" t="s">
        <v>18</v>
      </c>
      <c r="K17" t="s">
        <v>0</v>
      </c>
      <c r="L17" t="s">
        <v>1</v>
      </c>
      <c r="M17" t="s">
        <v>2</v>
      </c>
      <c r="N17" t="s">
        <v>3</v>
      </c>
      <c r="O17" s="1" t="s">
        <v>21</v>
      </c>
      <c r="P17" s="1" t="s">
        <v>4</v>
      </c>
      <c r="S17" s="1"/>
      <c r="X17" s="1"/>
      <c r="Y17" s="1"/>
    </row>
    <row r="18" spans="1:25" x14ac:dyDescent="0.15">
      <c r="B18" s="1" t="s">
        <v>5</v>
      </c>
      <c r="C18">
        <v>534</v>
      </c>
      <c r="D18">
        <v>546</v>
      </c>
      <c r="E18">
        <v>557</v>
      </c>
      <c r="F18">
        <v>584</v>
      </c>
      <c r="G18">
        <v>888</v>
      </c>
      <c r="K18" s="1" t="s">
        <v>5</v>
      </c>
      <c r="L18">
        <v>61.1</v>
      </c>
      <c r="M18">
        <v>82.6</v>
      </c>
      <c r="N18">
        <v>92.4</v>
      </c>
      <c r="O18">
        <v>97.4</v>
      </c>
      <c r="P18">
        <v>122</v>
      </c>
      <c r="T18" s="1"/>
    </row>
    <row r="19" spans="1:25" x14ac:dyDescent="0.15">
      <c r="B19" s="1" t="s">
        <v>6</v>
      </c>
      <c r="C19">
        <v>536</v>
      </c>
      <c r="D19">
        <v>549</v>
      </c>
      <c r="E19">
        <v>559</v>
      </c>
      <c r="F19">
        <v>598</v>
      </c>
      <c r="G19">
        <v>958</v>
      </c>
      <c r="K19" s="1" t="s">
        <v>6</v>
      </c>
      <c r="L19">
        <v>60.7</v>
      </c>
      <c r="M19">
        <v>87.1</v>
      </c>
      <c r="N19">
        <v>84.1</v>
      </c>
      <c r="O19">
        <v>106.1</v>
      </c>
      <c r="P19">
        <v>123.1</v>
      </c>
      <c r="T19" s="1"/>
    </row>
    <row r="20" spans="1:25" x14ac:dyDescent="0.15">
      <c r="B20" s="1" t="s">
        <v>7</v>
      </c>
      <c r="C20">
        <v>537</v>
      </c>
      <c r="D20">
        <v>560</v>
      </c>
      <c r="E20">
        <v>573</v>
      </c>
      <c r="F20">
        <v>645</v>
      </c>
      <c r="G20">
        <v>1220</v>
      </c>
      <c r="K20" s="1" t="s">
        <v>7</v>
      </c>
      <c r="L20">
        <v>59.8</v>
      </c>
      <c r="M20">
        <v>82.4</v>
      </c>
      <c r="N20">
        <v>81.099999999999994</v>
      </c>
      <c r="O20">
        <v>117.4</v>
      </c>
      <c r="P20">
        <v>123.6</v>
      </c>
      <c r="T20" s="1"/>
    </row>
    <row r="25" spans="1:25" x14ac:dyDescent="0.15">
      <c r="A25" s="1" t="s">
        <v>8</v>
      </c>
      <c r="B25" t="s">
        <v>0</v>
      </c>
      <c r="C25" t="s">
        <v>1</v>
      </c>
      <c r="D25" t="s">
        <v>2</v>
      </c>
      <c r="E25" t="s">
        <v>3</v>
      </c>
      <c r="F25" s="1" t="s">
        <v>21</v>
      </c>
      <c r="G25" s="1" t="s">
        <v>4</v>
      </c>
      <c r="I25" s="1" t="s">
        <v>12</v>
      </c>
      <c r="J25" s="1" t="s">
        <v>15</v>
      </c>
      <c r="K25" t="s">
        <v>0</v>
      </c>
      <c r="L25" t="s">
        <v>1</v>
      </c>
      <c r="M25" t="s">
        <v>2</v>
      </c>
      <c r="N25" t="s">
        <v>3</v>
      </c>
      <c r="O25" s="1" t="s">
        <v>21</v>
      </c>
      <c r="P25" s="1" t="s">
        <v>4</v>
      </c>
      <c r="R25" s="1" t="s">
        <v>14</v>
      </c>
      <c r="S25" s="1" t="s">
        <v>13</v>
      </c>
      <c r="T25" t="s">
        <v>0</v>
      </c>
      <c r="U25" t="s">
        <v>1</v>
      </c>
      <c r="V25" t="s">
        <v>2</v>
      </c>
      <c r="W25" t="s">
        <v>3</v>
      </c>
      <c r="X25" s="1" t="s">
        <v>21</v>
      </c>
      <c r="Y25" s="1" t="s">
        <v>4</v>
      </c>
    </row>
    <row r="26" spans="1:25" x14ac:dyDescent="0.15">
      <c r="B26" s="1" t="s">
        <v>5</v>
      </c>
      <c r="C26">
        <f>C3/C3</f>
        <v>1</v>
      </c>
      <c r="D26">
        <f>D3/C3</f>
        <v>1.0105820105820107</v>
      </c>
      <c r="E26">
        <f>E3/C3</f>
        <v>1.8835978835978835</v>
      </c>
      <c r="F26">
        <f>F3/C3</f>
        <v>1.0211640211640212</v>
      </c>
      <c r="G26">
        <f>G3/C3</f>
        <v>1.9206349206349207</v>
      </c>
      <c r="K26" s="1" t="s">
        <v>5</v>
      </c>
      <c r="L26">
        <f>L3/L3</f>
        <v>1</v>
      </c>
      <c r="M26">
        <f>M3/L3</f>
        <v>1.0092165898617511</v>
      </c>
      <c r="N26">
        <f>N3/L3</f>
        <v>0.99660441426146007</v>
      </c>
      <c r="O26">
        <f>O3/L3</f>
        <v>1.0048508367693427</v>
      </c>
      <c r="P26">
        <f>P3/L3</f>
        <v>1.1467378122726171</v>
      </c>
      <c r="T26" s="1" t="s">
        <v>5</v>
      </c>
      <c r="U26">
        <f>U3/U3</f>
        <v>1</v>
      </c>
      <c r="V26">
        <f>V3/U3</f>
        <v>0.99027327466419646</v>
      </c>
      <c r="W26">
        <f>W3/U3</f>
        <v>1.0736452061139417</v>
      </c>
      <c r="X26">
        <f>X3/U3</f>
        <v>1.0023158869847151</v>
      </c>
      <c r="Y26">
        <f>Y3/U3</f>
        <v>1.0986567855488651</v>
      </c>
    </row>
    <row r="27" spans="1:25" x14ac:dyDescent="0.15">
      <c r="B27" s="1" t="s">
        <v>6</v>
      </c>
      <c r="C27">
        <f t="shared" ref="C27:C28" si="0">C4/C4</f>
        <v>1</v>
      </c>
      <c r="D27">
        <f t="shared" ref="D27:D28" si="1">D4/C4</f>
        <v>1.0574712643678161</v>
      </c>
      <c r="E27">
        <f t="shared" ref="E27:E28" si="2">E4/C4</f>
        <v>2.0402298850574714</v>
      </c>
      <c r="F27">
        <f t="shared" ref="F27:F28" si="3">F4/C4</f>
        <v>1.0804597701149425</v>
      </c>
      <c r="G27">
        <f t="shared" ref="G27:G28" si="4">G4/C4</f>
        <v>2.0689655172413794</v>
      </c>
      <c r="K27" s="1" t="s">
        <v>6</v>
      </c>
      <c r="L27">
        <f t="shared" ref="L27:L28" si="5">L4/L4</f>
        <v>1</v>
      </c>
      <c r="M27">
        <f t="shared" ref="M27:M28" si="6">M4/L4</f>
        <v>1.016357421875</v>
      </c>
      <c r="N27">
        <f t="shared" ref="N27:N28" si="7">N4/L4</f>
        <v>1.017578125</v>
      </c>
      <c r="O27">
        <f t="shared" ref="O27:O28" si="8">O4/L4</f>
        <v>0.99902343749999989</v>
      </c>
      <c r="P27">
        <f t="shared" ref="P27:P28" si="9">P4/L4</f>
        <v>1.147705078125</v>
      </c>
      <c r="T27" s="1" t="s">
        <v>6</v>
      </c>
      <c r="U27">
        <f t="shared" ref="U27:U28" si="10">U4/U4</f>
        <v>1</v>
      </c>
      <c r="V27">
        <f t="shared" ref="V27:V28" si="11">V4/U4</f>
        <v>0.99256505576208176</v>
      </c>
      <c r="W27">
        <f t="shared" ref="W27:W28" si="12">W4/U4</f>
        <v>1.0892193308550187</v>
      </c>
      <c r="X27">
        <f t="shared" ref="X27:X28" si="13">X4/U4</f>
        <v>1.0120817843866172</v>
      </c>
      <c r="Y27">
        <f t="shared" ref="Y27:Y28" si="14">Y4/U4</f>
        <v>1.1119888475836432</v>
      </c>
    </row>
    <row r="28" spans="1:25" x14ac:dyDescent="0.15">
      <c r="B28" s="1" t="s">
        <v>7</v>
      </c>
      <c r="C28">
        <f t="shared" si="0"/>
        <v>1</v>
      </c>
      <c r="D28">
        <f t="shared" si="1"/>
        <v>1.7358490566037736</v>
      </c>
      <c r="E28">
        <f t="shared" si="2"/>
        <v>3.4150943396226414</v>
      </c>
      <c r="F28">
        <f t="shared" si="3"/>
        <v>1.7641509433962264</v>
      </c>
      <c r="G28">
        <f t="shared" si="4"/>
        <v>3.3962264150943398</v>
      </c>
      <c r="K28" s="1" t="s">
        <v>7</v>
      </c>
      <c r="L28">
        <f t="shared" si="5"/>
        <v>1</v>
      </c>
      <c r="M28">
        <f t="shared" si="6"/>
        <v>1.0031653274896519</v>
      </c>
      <c r="N28">
        <f t="shared" si="7"/>
        <v>1.0080350620891161</v>
      </c>
      <c r="O28">
        <f t="shared" si="8"/>
        <v>1.0038957876795715</v>
      </c>
      <c r="P28">
        <f t="shared" si="9"/>
        <v>1.1156561967372778</v>
      </c>
      <c r="T28" s="1" t="s">
        <v>7</v>
      </c>
      <c r="U28">
        <f t="shared" si="10"/>
        <v>1</v>
      </c>
      <c r="V28">
        <f t="shared" si="11"/>
        <v>1.0510777881911904</v>
      </c>
      <c r="W28">
        <f t="shared" si="12"/>
        <v>1.0941893158388003</v>
      </c>
      <c r="X28">
        <f t="shared" si="13"/>
        <v>1.001405810684161</v>
      </c>
      <c r="Y28">
        <f t="shared" si="14"/>
        <v>1.1115276476101217</v>
      </c>
    </row>
    <row r="30" spans="1:25" x14ac:dyDescent="0.15">
      <c r="A30" s="1" t="s">
        <v>9</v>
      </c>
      <c r="B30" t="s">
        <v>0</v>
      </c>
      <c r="C30" t="s">
        <v>1</v>
      </c>
      <c r="D30" t="s">
        <v>2</v>
      </c>
      <c r="E30" t="s">
        <v>3</v>
      </c>
      <c r="F30" s="1" t="s">
        <v>21</v>
      </c>
      <c r="G30" s="1" t="s">
        <v>4</v>
      </c>
      <c r="J30" s="1" t="s">
        <v>16</v>
      </c>
      <c r="K30" t="s">
        <v>0</v>
      </c>
      <c r="L30" t="s">
        <v>1</v>
      </c>
      <c r="M30" t="s">
        <v>2</v>
      </c>
      <c r="N30" t="s">
        <v>3</v>
      </c>
      <c r="O30" s="1" t="s">
        <v>21</v>
      </c>
      <c r="P30" s="1" t="s">
        <v>4</v>
      </c>
      <c r="S30" s="1" t="s">
        <v>19</v>
      </c>
      <c r="T30" t="s">
        <v>0</v>
      </c>
      <c r="U30" t="s">
        <v>1</v>
      </c>
      <c r="V30" t="s">
        <v>2</v>
      </c>
      <c r="W30" t="s">
        <v>3</v>
      </c>
      <c r="X30" s="1" t="s">
        <v>21</v>
      </c>
      <c r="Y30" s="1" t="s">
        <v>4</v>
      </c>
    </row>
    <row r="31" spans="1:25" x14ac:dyDescent="0.15">
      <c r="B31" s="1" t="s">
        <v>5</v>
      </c>
      <c r="C31">
        <f>C8/C8</f>
        <v>1</v>
      </c>
      <c r="D31">
        <f>D8/C8</f>
        <v>1.0844793713163066</v>
      </c>
      <c r="E31">
        <f>E8/C8</f>
        <v>4.2829076620825148</v>
      </c>
      <c r="F31">
        <f>F8/C8</f>
        <v>1.2436149312377209</v>
      </c>
      <c r="G31">
        <f>G8/C8</f>
        <v>4.6758349705304516</v>
      </c>
      <c r="K31" s="1" t="s">
        <v>5</v>
      </c>
      <c r="L31">
        <f>L8/L8</f>
        <v>1</v>
      </c>
      <c r="M31">
        <f>M8/L8</f>
        <v>3.7527593818984548</v>
      </c>
      <c r="N31">
        <f>N8/L8</f>
        <v>3.6843267108167774</v>
      </c>
      <c r="O31">
        <f>O8/L8</f>
        <v>3.7991169977924946</v>
      </c>
      <c r="P31">
        <f>P8/L8</f>
        <v>4.0618101545253866</v>
      </c>
      <c r="T31" s="1" t="s">
        <v>5</v>
      </c>
      <c r="U31">
        <f>U8/U8</f>
        <v>1</v>
      </c>
      <c r="V31">
        <f>V8/U8</f>
        <v>1.0622193713919179</v>
      </c>
      <c r="W31">
        <f>W8/U8</f>
        <v>1.0692751763951249</v>
      </c>
      <c r="X31">
        <f>X8/W8</f>
        <v>1.0197960407918416</v>
      </c>
      <c r="Y31">
        <f>Y8/U8</f>
        <v>1.8704297626683772</v>
      </c>
    </row>
    <row r="32" spans="1:25" x14ac:dyDescent="0.15">
      <c r="B32" s="1" t="s">
        <v>6</v>
      </c>
      <c r="C32">
        <f t="shared" ref="C32:C33" si="15">C9/C9</f>
        <v>1</v>
      </c>
      <c r="D32">
        <f t="shared" ref="D32:D33" si="16">D9/C9</f>
        <v>1.2260638297872339</v>
      </c>
      <c r="E32">
        <f t="shared" ref="E32:E33" si="17">E9/C9</f>
        <v>5.1595744680851059</v>
      </c>
      <c r="F32">
        <f t="shared" ref="F32:F33" si="18">F9/C9</f>
        <v>1.574468085106383</v>
      </c>
      <c r="G32">
        <f t="shared" ref="G32:G33" si="19">G9/C9</f>
        <v>6.3563829787234036</v>
      </c>
      <c r="K32" s="1" t="s">
        <v>6</v>
      </c>
      <c r="L32">
        <f t="shared" ref="L32:L33" si="20">L9/L9</f>
        <v>1</v>
      </c>
      <c r="M32">
        <f t="shared" ref="M32:M33" si="21">M9/L9</f>
        <v>3.7626373626373626</v>
      </c>
      <c r="N32">
        <f t="shared" ref="N32:N33" si="22">N9/L9</f>
        <v>3.6725274725274724</v>
      </c>
      <c r="O32">
        <f t="shared" ref="O32:O33" si="23">O9/L9</f>
        <v>3.8043956043956042</v>
      </c>
      <c r="P32">
        <f t="shared" ref="P32:P33" si="24">P9/L9</f>
        <v>4.0637362637362635</v>
      </c>
      <c r="T32" s="1" t="s">
        <v>6</v>
      </c>
      <c r="U32">
        <f t="shared" ref="U32:U33" si="25">U9/U9</f>
        <v>1</v>
      </c>
      <c r="V32">
        <f t="shared" ref="V32:V33" si="26">V9/U9</f>
        <v>1.0139416983523446</v>
      </c>
      <c r="W32">
        <f t="shared" ref="W32" si="27">W9/U9</f>
        <v>1.0602027883396705</v>
      </c>
      <c r="X32">
        <f t="shared" ref="X32:X33" si="28">X9/W9</f>
        <v>1.0514046622833233</v>
      </c>
      <c r="Y32">
        <f t="shared" ref="Y32:Y33" si="29">Y9/U9</f>
        <v>1.5735107731305449</v>
      </c>
    </row>
    <row r="33" spans="1:25" x14ac:dyDescent="0.15">
      <c r="B33" s="1" t="s">
        <v>7</v>
      </c>
      <c r="C33">
        <f t="shared" si="15"/>
        <v>1</v>
      </c>
      <c r="D33">
        <f t="shared" si="16"/>
        <v>1.326271186440678</v>
      </c>
      <c r="E33">
        <f t="shared" si="17"/>
        <v>2.0127118644067794</v>
      </c>
      <c r="F33">
        <f t="shared" si="18"/>
        <v>2.5593220338983049</v>
      </c>
      <c r="G33">
        <f t="shared" si="19"/>
        <v>10.084745762711863</v>
      </c>
      <c r="K33" s="1" t="s">
        <v>7</v>
      </c>
      <c r="L33">
        <f t="shared" si="20"/>
        <v>1</v>
      </c>
      <c r="M33">
        <f t="shared" si="21"/>
        <v>3.8</v>
      </c>
      <c r="N33">
        <f t="shared" si="22"/>
        <v>3.6822222222222218</v>
      </c>
      <c r="O33">
        <f t="shared" si="23"/>
        <v>3.8488888888888888</v>
      </c>
      <c r="P33">
        <f t="shared" si="24"/>
        <v>4.08</v>
      </c>
      <c r="T33" s="1" t="s">
        <v>7</v>
      </c>
      <c r="U33">
        <f t="shared" si="25"/>
        <v>1</v>
      </c>
      <c r="V33">
        <f t="shared" si="26"/>
        <v>1.22508038585209</v>
      </c>
      <c r="W33">
        <f>W10/U10</f>
        <v>0.954983922829582</v>
      </c>
      <c r="X33">
        <f t="shared" si="28"/>
        <v>1.3717171717171717</v>
      </c>
      <c r="Y33">
        <f t="shared" si="29"/>
        <v>1.8655948553054664</v>
      </c>
    </row>
    <row r="35" spans="1:25" x14ac:dyDescent="0.15">
      <c r="A35" s="1" t="s">
        <v>10</v>
      </c>
      <c r="B35" t="s">
        <v>0</v>
      </c>
      <c r="C35" t="s">
        <v>1</v>
      </c>
      <c r="D35" t="s">
        <v>2</v>
      </c>
      <c r="E35" t="s">
        <v>3</v>
      </c>
      <c r="F35" s="1" t="s">
        <v>21</v>
      </c>
      <c r="G35" s="1" t="s">
        <v>4</v>
      </c>
      <c r="J35" s="1" t="s">
        <v>17</v>
      </c>
      <c r="K35" t="s">
        <v>0</v>
      </c>
      <c r="L35" t="s">
        <v>1</v>
      </c>
      <c r="M35" t="s">
        <v>2</v>
      </c>
      <c r="N35" t="s">
        <v>3</v>
      </c>
      <c r="O35" s="1" t="s">
        <v>21</v>
      </c>
      <c r="P35" s="1" t="s">
        <v>4</v>
      </c>
      <c r="S35" s="1" t="s">
        <v>20</v>
      </c>
      <c r="T35" t="s">
        <v>0</v>
      </c>
      <c r="U35" t="s">
        <v>1</v>
      </c>
      <c r="V35" t="s">
        <v>2</v>
      </c>
      <c r="W35" t="s">
        <v>3</v>
      </c>
      <c r="X35" s="1" t="s">
        <v>21</v>
      </c>
      <c r="Y35" s="1" t="s">
        <v>4</v>
      </c>
    </row>
    <row r="36" spans="1:25" x14ac:dyDescent="0.15">
      <c r="B36" s="1" t="s">
        <v>5</v>
      </c>
      <c r="C36">
        <f>C13/C13</f>
        <v>1</v>
      </c>
      <c r="D36">
        <f>D13/C13</f>
        <v>1.5449640287769784</v>
      </c>
      <c r="E36">
        <f>E13/C13</f>
        <v>1.6043165467625899</v>
      </c>
      <c r="F36">
        <f>F13/C13</f>
        <v>2.2104316546762588</v>
      </c>
      <c r="G36">
        <f>G13/C13</f>
        <v>2.2841726618705036</v>
      </c>
      <c r="K36" s="1" t="s">
        <v>5</v>
      </c>
      <c r="L36">
        <f>L13/L13</f>
        <v>1</v>
      </c>
      <c r="M36">
        <f>M13/L13</f>
        <v>6.7372400756143662</v>
      </c>
      <c r="N36">
        <f>N13/L13</f>
        <v>6.1947069943289224</v>
      </c>
      <c r="O36">
        <f>O13/L13</f>
        <v>7.5538752362948971</v>
      </c>
      <c r="P36">
        <f>P13/L13</f>
        <v>7.8582230623818523</v>
      </c>
      <c r="T36" s="1" t="s">
        <v>5</v>
      </c>
      <c r="U36">
        <f>U13/U13</f>
        <v>1</v>
      </c>
      <c r="V36">
        <f>V13/U13</f>
        <v>1.0048154093097914</v>
      </c>
      <c r="W36">
        <f>W13/U13</f>
        <v>1.012841091492777</v>
      </c>
      <c r="X36">
        <f>X13/U13</f>
        <v>1.0160513643659712</v>
      </c>
      <c r="Y36">
        <f>Y13/U13</f>
        <v>1.1813804173354734</v>
      </c>
    </row>
    <row r="37" spans="1:25" x14ac:dyDescent="0.15">
      <c r="B37" s="1" t="s">
        <v>6</v>
      </c>
      <c r="C37">
        <f t="shared" ref="C37:C38" si="30">C14/C14</f>
        <v>1</v>
      </c>
      <c r="D37">
        <f t="shared" ref="D37:D38" si="31">D14/C14</f>
        <v>1.5161290322580645</v>
      </c>
      <c r="E37">
        <f t="shared" ref="E37:E38" si="32">E14/C14</f>
        <v>1.6164874551971327</v>
      </c>
      <c r="F37">
        <f t="shared" ref="F37:F38" si="33">F14/C14</f>
        <v>2.1917562724014337</v>
      </c>
      <c r="G37">
        <f t="shared" ref="G37:G38" si="34">G14/C14</f>
        <v>2.2867383512544803</v>
      </c>
      <c r="K37" s="1" t="s">
        <v>6</v>
      </c>
      <c r="L37">
        <f t="shared" ref="L37:L38" si="35">L14/L14</f>
        <v>1</v>
      </c>
      <c r="M37">
        <f t="shared" ref="M37:M38" si="36">M14/L14</f>
        <v>6.8454198473282446</v>
      </c>
      <c r="N37">
        <f t="shared" ref="N37:N38" si="37">N14/L14</f>
        <v>6.1545801526717563</v>
      </c>
      <c r="O37">
        <f t="shared" ref="O37:O38" si="38">O14/L14</f>
        <v>7.7919847328244281</v>
      </c>
      <c r="P37">
        <f t="shared" ref="P37:P38" si="39">P14/L14</f>
        <v>8.0076335877862608</v>
      </c>
      <c r="T37" s="1" t="s">
        <v>6</v>
      </c>
      <c r="U37">
        <f t="shared" ref="U37:U38" si="40">U14/U14</f>
        <v>1</v>
      </c>
      <c r="V37">
        <f t="shared" ref="V37:V38" si="41">V14/U14</f>
        <v>1.0129449838187703</v>
      </c>
      <c r="W37">
        <f t="shared" ref="W37:W38" si="42">W14/U14</f>
        <v>1</v>
      </c>
      <c r="X37">
        <f t="shared" ref="X37:X38" si="43">X14/U14</f>
        <v>1.0388349514563107</v>
      </c>
      <c r="Y37">
        <f t="shared" ref="Y37:Y38" si="44">Y14/U14</f>
        <v>1.1132686084142396</v>
      </c>
    </row>
    <row r="38" spans="1:25" x14ac:dyDescent="0.15">
      <c r="B38" s="1" t="s">
        <v>7</v>
      </c>
      <c r="C38">
        <f t="shared" si="30"/>
        <v>1</v>
      </c>
      <c r="D38">
        <f t="shared" si="31"/>
        <v>1.3577817531305902</v>
      </c>
      <c r="E38">
        <f t="shared" si="32"/>
        <v>1.483005366726297</v>
      </c>
      <c r="F38">
        <f t="shared" si="33"/>
        <v>2.1914132379248659</v>
      </c>
      <c r="G38">
        <f t="shared" si="34"/>
        <v>2.2862254025044724</v>
      </c>
      <c r="K38" s="1" t="s">
        <v>7</v>
      </c>
      <c r="L38">
        <f t="shared" si="35"/>
        <v>1</v>
      </c>
      <c r="M38">
        <f t="shared" si="36"/>
        <v>7.4106776180698146</v>
      </c>
      <c r="N38">
        <f t="shared" si="37"/>
        <v>6.6611909650924019</v>
      </c>
      <c r="O38">
        <f t="shared" si="38"/>
        <v>8.31006160164271</v>
      </c>
      <c r="P38">
        <f t="shared" si="39"/>
        <v>8.564681724845995</v>
      </c>
      <c r="T38" s="1" t="s">
        <v>7</v>
      </c>
      <c r="U38">
        <f t="shared" si="40"/>
        <v>1</v>
      </c>
      <c r="V38">
        <f t="shared" si="41"/>
        <v>1.029654036243822</v>
      </c>
      <c r="W38">
        <f t="shared" si="42"/>
        <v>1.0280065897858319</v>
      </c>
      <c r="X38">
        <f t="shared" si="43"/>
        <v>1.0609555189456343</v>
      </c>
      <c r="Y38">
        <f t="shared" si="44"/>
        <v>1.128500823723229</v>
      </c>
    </row>
    <row r="40" spans="1:25" x14ac:dyDescent="0.15">
      <c r="A40" s="1" t="s">
        <v>11</v>
      </c>
      <c r="B40" t="s">
        <v>0</v>
      </c>
      <c r="C40" t="s">
        <v>1</v>
      </c>
      <c r="D40" t="s">
        <v>2</v>
      </c>
      <c r="E40" t="s">
        <v>3</v>
      </c>
      <c r="F40" s="1" t="s">
        <v>21</v>
      </c>
      <c r="G40" s="1" t="s">
        <v>4</v>
      </c>
      <c r="J40" s="1" t="s">
        <v>18</v>
      </c>
      <c r="K40" t="s">
        <v>0</v>
      </c>
      <c r="L40" t="s">
        <v>1</v>
      </c>
      <c r="M40" t="s">
        <v>2</v>
      </c>
      <c r="N40" t="s">
        <v>3</v>
      </c>
      <c r="O40" s="1" t="s">
        <v>21</v>
      </c>
      <c r="P40" s="1" t="s">
        <v>4</v>
      </c>
      <c r="S40" s="1"/>
      <c r="X40" s="1"/>
      <c r="Y40" s="1"/>
    </row>
    <row r="41" spans="1:25" x14ac:dyDescent="0.15">
      <c r="B41" s="1" t="s">
        <v>5</v>
      </c>
      <c r="C41">
        <f>C18/C18</f>
        <v>1</v>
      </c>
      <c r="D41">
        <f>D18/C18</f>
        <v>1.0224719101123596</v>
      </c>
      <c r="E41">
        <f>E18/C18</f>
        <v>1.0430711610486891</v>
      </c>
      <c r="F41">
        <f>F18/C18</f>
        <v>1.0936329588014981</v>
      </c>
      <c r="G41">
        <f>G18/C18</f>
        <v>1.6629213483146068</v>
      </c>
      <c r="K41" s="1" t="s">
        <v>5</v>
      </c>
      <c r="L41">
        <f>L18/L18</f>
        <v>1</v>
      </c>
      <c r="M41">
        <f>M18/L18</f>
        <v>1.3518821603927986</v>
      </c>
      <c r="N41">
        <f>N18/L18</f>
        <v>1.5122749590834699</v>
      </c>
      <c r="O41">
        <f>O18/L18</f>
        <v>1.5941080196399346</v>
      </c>
      <c r="P41">
        <f>P18/L18</f>
        <v>1.9967266775777415</v>
      </c>
      <c r="T41" s="1"/>
    </row>
    <row r="42" spans="1:25" x14ac:dyDescent="0.15">
      <c r="B42" s="1" t="s">
        <v>6</v>
      </c>
      <c r="C42">
        <f t="shared" ref="C42:C43" si="45">C19/C19</f>
        <v>1</v>
      </c>
      <c r="D42">
        <f t="shared" ref="D42:D43" si="46">D19/C19</f>
        <v>1.0242537313432836</v>
      </c>
      <c r="E42">
        <f t="shared" ref="E42:E43" si="47">E19/C19</f>
        <v>1.0429104477611941</v>
      </c>
      <c r="F42">
        <f t="shared" ref="F42:F43" si="48">F19/C19</f>
        <v>1.1156716417910448</v>
      </c>
      <c r="G42">
        <f t="shared" ref="G42:G43" si="49">G19/C19</f>
        <v>1.7873134328358209</v>
      </c>
      <c r="K42" s="1" t="s">
        <v>6</v>
      </c>
      <c r="L42">
        <f t="shared" ref="L42:L43" si="50">L19/L19</f>
        <v>1</v>
      </c>
      <c r="M42">
        <f t="shared" ref="M42:M43" si="51">M19/L19</f>
        <v>1.4349258649093903</v>
      </c>
      <c r="N42">
        <f t="shared" ref="N42:N43" si="52">N19/L19</f>
        <v>1.3855024711696868</v>
      </c>
      <c r="O42">
        <f t="shared" ref="O42:O43" si="53">O19/L19</f>
        <v>1.7479406919275122</v>
      </c>
      <c r="P42">
        <f t="shared" ref="P42:P43" si="54">P19/L19</f>
        <v>2.0280065897858317</v>
      </c>
      <c r="T42" s="1"/>
    </row>
    <row r="43" spans="1:25" x14ac:dyDescent="0.15">
      <c r="B43" s="1" t="s">
        <v>7</v>
      </c>
      <c r="C43">
        <f t="shared" si="45"/>
        <v>1</v>
      </c>
      <c r="D43">
        <f t="shared" si="46"/>
        <v>1.042830540037244</v>
      </c>
      <c r="E43">
        <f t="shared" si="47"/>
        <v>1.0670391061452513</v>
      </c>
      <c r="F43">
        <f t="shared" si="48"/>
        <v>1.2011173184357542</v>
      </c>
      <c r="G43">
        <f t="shared" si="49"/>
        <v>2.2718808193668529</v>
      </c>
      <c r="K43" s="1" t="s">
        <v>7</v>
      </c>
      <c r="L43">
        <f t="shared" si="50"/>
        <v>1</v>
      </c>
      <c r="M43">
        <f t="shared" si="51"/>
        <v>1.3779264214046825</v>
      </c>
      <c r="N43">
        <f t="shared" si="52"/>
        <v>1.3561872909698995</v>
      </c>
      <c r="O43">
        <f t="shared" si="53"/>
        <v>1.9632107023411374</v>
      </c>
      <c r="P43">
        <f t="shared" si="54"/>
        <v>2.0668896321070234</v>
      </c>
      <c r="T43" s="1"/>
    </row>
  </sheetData>
  <phoneticPr fontId="1" type="noConversion"/>
  <pageMargins left="0.7" right="0.7" top="0.75" bottom="0.75" header="0.3" footer="0.3"/>
  <pageSetup paperSize="9" orientation="portrait"/>
  <ignoredErrors>
    <ignoredError sqref="W31:W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2025-11-22T09:19:15Z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343C5F9801D94E0F85EA58ACAEA2CE03_12</vt:lpwstr>
  </property>
</Properties>
</file>