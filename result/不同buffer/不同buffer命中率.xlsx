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SegFTL2.0修改版\SegFTL2.0大修版\实验结果2.0\不同buffer\"/>
    </mc:Choice>
  </mc:AlternateContent>
  <xr:revisionPtr revIDLastSave="0" documentId="13_ncr:1_{6C5DA5A3-438C-48A5-BB5A-55CB5EA7993F}" xr6:coauthVersionLast="47" xr6:coauthVersionMax="47" xr10:uidLastSave="{00000000-0000-0000-0000-000000000000}"/>
  <bookViews>
    <workbookView xWindow="5880" yWindow="156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<sst xmlns="http://schemas.openxmlformats.org/spreadsheetml/2006/main" count="4" uniqueCount="4">
  <si>
    <t>model cnt</t>
    <phoneticPr fontId="1" type="noConversion"/>
  </si>
  <si>
    <t>read cnt</t>
    <phoneticPr fontId="1" type="noConversion"/>
  </si>
  <si>
    <t>hit ratio (%)</t>
    <phoneticPr fontId="1" type="noConversion"/>
  </si>
  <si>
    <t>write buffer size (MB)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</si>
</sst>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14" sqref="G14"/>
    </sheetView>
  </sheetViews>
  <sheetFormatPr defaultColWidth="9" defaultRowHeight="13.5" x14ac:dyDescent="0.15"/>
  <sheetData>
    <row r="1" spans="1:5" x14ac:dyDescent="0.15">
      <c r="A1" s="1" t="s">
        <v>3</v>
      </c>
      <c r="B1" s="1" t="s">
        <v>2</v>
      </c>
      <c r="C1" s="1" t="s">
        <v>0</v>
      </c>
      <c r="D1" s="1" t="s">
        <v>1</v>
      </c>
    </row>
    <row r="2" spans="1:5" x14ac:dyDescent="0.15">
      <c r="A2">
        <v>0</v>
      </c>
      <c r="B2">
        <f>C2/D2*100</f>
        <v>6.25</v>
      </c>
      <c r="C2">
        <v>16384</v>
      </c>
      <c r="D2">
        <v>262144</v>
      </c>
      <c r="E2">
        <f>ROUND(B2,2)</f>
        <v>6.25</v>
      </c>
    </row>
    <row r="3" spans="1:5" x14ac:dyDescent="0.15">
      <c r="A3">
        <v>1</v>
      </c>
      <c r="B3">
        <f t="shared" ref="B3:B7" si="0">C3/D3*100</f>
        <v>7.6477903924800099</v>
      </c>
      <c r="C3">
        <v>20047</v>
      </c>
      <c r="D3">
        <v>262128</v>
      </c>
      <c r="E3">
        <f t="shared" ref="E3:E7" si="1">ROUND(B3,2)</f>
        <v>7.65</v>
      </c>
    </row>
    <row r="4" spans="1:5" x14ac:dyDescent="0.15">
      <c r="A4">
        <v>2</v>
      </c>
      <c r="B4">
        <f t="shared" si="0"/>
        <v>8.1738068897112122</v>
      </c>
      <c r="C4">
        <v>21426</v>
      </c>
      <c r="D4">
        <v>262130</v>
      </c>
      <c r="E4">
        <f t="shared" si="1"/>
        <v>8.17</v>
      </c>
    </row>
    <row r="5" spans="1:5" x14ac:dyDescent="0.15">
      <c r="A5">
        <v>4</v>
      </c>
      <c r="B5">
        <f t="shared" si="0"/>
        <v>8.8605566134577884</v>
      </c>
      <c r="C5">
        <v>23219</v>
      </c>
      <c r="D5">
        <v>262049</v>
      </c>
      <c r="E5">
        <f t="shared" si="1"/>
        <v>8.86</v>
      </c>
    </row>
    <row r="6" spans="1:5" x14ac:dyDescent="0.15">
      <c r="A6">
        <v>8</v>
      </c>
      <c r="B6">
        <f t="shared" si="0"/>
        <v>9.6893101632438121</v>
      </c>
      <c r="C6">
        <v>25392</v>
      </c>
      <c r="D6">
        <v>262062</v>
      </c>
      <c r="E6">
        <f t="shared" si="1"/>
        <v>9.69</v>
      </c>
    </row>
    <row r="7" spans="1:5" x14ac:dyDescent="0.15">
      <c r="A7">
        <v>16</v>
      </c>
      <c r="B7">
        <f t="shared" si="0"/>
        <v>11.044479669983383</v>
      </c>
      <c r="C7">
        <v>28915</v>
      </c>
      <c r="D7">
        <v>261805</v>
      </c>
      <c r="E7">
        <f t="shared" si="1"/>
        <v>11.04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2025-11-20T10:33:15Z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